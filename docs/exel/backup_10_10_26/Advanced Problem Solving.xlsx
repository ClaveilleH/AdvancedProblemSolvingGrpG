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ts" sheetId="1" r:id="rId5"/>
    <sheet state="visible" name="Stats Instances" sheetId="2" r:id="rId6"/>
    <sheet state="visible" name="Classement" sheetId="3" r:id="rId7"/>
    <sheet state="visible" name="Ranking" sheetId="4" r:id="rId8"/>
  </sheets>
  <definedNames/>
  <calcPr/>
</workbook>
</file>

<file path=xl/sharedStrings.xml><?xml version="1.0" encoding="utf-8"?>
<sst xmlns="http://schemas.openxmlformats.org/spreadsheetml/2006/main" count="359" uniqueCount="89">
  <si>
    <t>INSTANCES FOURNIES PAR GOOGLE</t>
  </si>
  <si>
    <t>Meilleur résultat</t>
  </si>
  <si>
    <t>Premiers tests de classements</t>
  </si>
  <si>
    <t>Classement moyenne du ratio au meilleur</t>
  </si>
  <si>
    <t>Classement hashcode</t>
  </si>
  <si>
    <t>Groupe</t>
  </si>
  <si>
    <t>Moyenne</t>
  </si>
  <si>
    <t>CLASSEMENT Google</t>
  </si>
  <si>
    <t>Min</t>
  </si>
  <si>
    <t>Instance :</t>
  </si>
  <si>
    <t>Classement ecarta la moyenne</t>
  </si>
  <si>
    <t>Classement</t>
  </si>
  <si>
    <t>Score</t>
  </si>
  <si>
    <t>instance \ score groupe</t>
  </si>
  <si>
    <t>VBS</t>
  </si>
  <si>
    <t>custom_universallambda42_asymmetric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</si>
  <si>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</si>
  <si>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</si>
  <si>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</si>
  <si>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</si>
  <si>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</si>
  <si>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</si>
  <si>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</si>
  <si>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</si>
  <si>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</si>
  <si>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</si>
  <si>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</si>
  <si>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</si>
  <si>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P</t>
  </si>
  <si>
    <t>Classement à la Google</t>
  </si>
  <si>
    <t>Lowest Score</t>
  </si>
  <si>
    <t>Borne Inf</t>
  </si>
  <si>
    <t>kittens</t>
  </si>
  <si>
    <t>me_at_the_zoo</t>
  </si>
  <si>
    <t>trending_today</t>
  </si>
  <si>
    <t>videos_worth_spreading</t>
  </si>
  <si>
    <t>Groupes</t>
  </si>
  <si>
    <t>TOTAL</t>
  </si>
  <si>
    <t>Rang</t>
  </si>
  <si>
    <t>Déviation</t>
  </si>
  <si>
    <t>Ratio eu meilleur</t>
  </si>
  <si>
    <t>Z-score</t>
  </si>
  <si>
    <t>Ecart a la moyenne</t>
  </si>
  <si>
    <t>Ecart a la médiane</t>
  </si>
  <si>
    <t>normalisation min-max</t>
  </si>
  <si>
    <t>Classement Hashcode</t>
  </si>
  <si>
    <t>Classement Local</t>
  </si>
  <si>
    <t>INSTANCES DE LA PROMO</t>
  </si>
  <si>
    <t>custom_dejavu42</t>
  </si>
  <si>
    <t>custom_universallambda42</t>
  </si>
  <si>
    <t>instance1 (corrigée)</t>
  </si>
  <si>
    <t>instance2 (corrigée)</t>
  </si>
  <si>
    <t>4990_246_84901_50.in</t>
  </si>
  <si>
    <t>6970_311_100000_69.in</t>
  </si>
  <si>
    <r>
      <rPr>
        <rFont val="Arial"/>
        <color rgb="FF000000"/>
      </rPr>
      <t>10000_500_100000_100.in</t>
    </r>
  </si>
  <si>
    <r>
      <rPr>
        <rFont val="Arial"/>
        <color rgb="FF000000"/>
      </rPr>
      <t>3860_246_84901_66.in</t>
    </r>
  </si>
  <si>
    <t>regional_instance.in</t>
  </si>
  <si>
    <t>zipF_instance.in</t>
  </si>
  <si>
    <t>big.in</t>
  </si>
  <si>
    <t>supra.in</t>
  </si>
  <si>
    <t>INSATANC2D.in</t>
  </si>
  <si>
    <t>INSTANCED.in</t>
  </si>
  <si>
    <t>2_2_2_1.in</t>
  </si>
  <si>
    <t>4_2_4_2.in</t>
  </si>
  <si>
    <t>6_2_6_2.in</t>
  </si>
  <si>
    <t>8_2_8_2.in</t>
  </si>
  <si>
    <t>20_2_20_2.in</t>
  </si>
  <si>
    <t>realistic_large_clustered.in</t>
  </si>
  <si>
    <t>realistic_large_random.in</t>
  </si>
  <si>
    <t>dense</t>
  </si>
  <si>
    <t>dense2</t>
  </si>
  <si>
    <t>medium_mixed_lambda.in</t>
  </si>
  <si>
    <t>medium_skew_dense_dejavu.in</t>
  </si>
  <si>
    <t>medium_skew_sparse_lambda.in</t>
  </si>
  <si>
    <t>medium_flat_dense_dejavu.in</t>
  </si>
  <si>
    <t>medium_flat_sparse_lambda.in</t>
  </si>
  <si>
    <t>instance1</t>
  </si>
  <si>
    <t>instance2</t>
  </si>
  <si>
    <t>Sum</t>
  </si>
  <si>
    <t>Final ranking</t>
  </si>
  <si>
    <t>CLASSEMENT</t>
  </si>
  <si>
    <t>CLASSEMENT avg ratio</t>
  </si>
  <si>
    <t/>
  </si>
  <si>
    <t>moyenne</t>
  </si>
  <si>
    <t>classement</t>
  </si>
  <si>
    <t>moyenne sans compter cases vide</t>
  </si>
  <si>
    <t>moyenne "" = 0</t>
  </si>
  <si>
    <t>somme</t>
  </si>
  <si>
    <t>CLASSEMENT norm min-max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</si>
</sst>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/>
    <font>
      <color theme="1"/>
      <name val="Var(--font-mono)"/>
    </font>
    <font>
      <color rgb="FF000000"/>
      <name val="Arial"/>
      <scheme val="minor"/>
    </font>
    <font>
      <color theme="1"/>
      <name val="Arial"/>
    </font>
    <font>
      <sz val="9.0"/>
      <color rgb="FFD5DDEA"/>
      <name val="&quot;JetBrains Mono&quot;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67EB67"/>
        <bgColor rgb="FF67EB67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6FB1E8"/>
        <bgColor rgb="FF6FB1E8"/>
      </patternFill>
    </fill>
    <fill>
      <patternFill patternType="solid">
        <fgColor rgb="FFF4CCCC"/>
        <bgColor rgb="FFF4CCC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4" numFmtId="0" xfId="0" applyBorder="1" applyFont="1"/>
    <xf borderId="0" fillId="0" fontId="4" numFmtId="0" xfId="0" applyFont="1"/>
    <xf borderId="3" fillId="0" fontId="4" numFmtId="3" xfId="0" applyBorder="1" applyFont="1" applyNumberFormat="1"/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0" fillId="0" fontId="4" numFmtId="1" xfId="0" applyAlignment="1" applyFont="1" applyNumberFormat="1">
      <alignment readingOrder="0"/>
    </xf>
    <xf borderId="1" fillId="3" fontId="4" numFmtId="0" xfId="0" applyAlignment="1" applyBorder="1" applyFill="1" applyFont="1">
      <alignment readingOrder="0"/>
    </xf>
    <xf borderId="7" fillId="0" fontId="4" numFmtId="1" xfId="0" applyAlignment="1" applyBorder="1" applyFont="1" applyNumberFormat="1">
      <alignment readingOrder="0"/>
    </xf>
    <xf borderId="3" fillId="0" fontId="4" numFmtId="1" xfId="0" applyAlignment="1" applyBorder="1" applyFont="1" applyNumberFormat="1">
      <alignment readingOrder="0"/>
    </xf>
    <xf borderId="3" fillId="0" fontId="4" numFmtId="1" xfId="0" applyAlignment="1" applyBorder="1" applyFont="1" applyNumberFormat="1">
      <alignment horizontal="right" readingOrder="0"/>
    </xf>
    <xf borderId="3" fillId="0" fontId="4" numFmtId="1" xfId="0" applyBorder="1" applyFont="1" applyNumberFormat="1"/>
    <xf borderId="8" fillId="0" fontId="4" numFmtId="3" xfId="0" applyBorder="1" applyFont="1" applyNumberFormat="1"/>
    <xf borderId="0" fillId="2" fontId="4" numFmtId="0" xfId="0" applyFill="1" applyFont="1"/>
    <xf borderId="3" fillId="0" fontId="4" numFmtId="0" xfId="0" applyAlignment="1" applyBorder="1" applyFont="1">
      <alignment readingOrder="0"/>
    </xf>
    <xf borderId="9" fillId="0" fontId="4" numFmtId="1" xfId="0" applyAlignment="1" applyBorder="1" applyFont="1" applyNumberFormat="1">
      <alignment readingOrder="0"/>
    </xf>
    <xf borderId="10" fillId="0" fontId="4" numFmtId="1" xfId="0" applyAlignment="1" applyBorder="1" applyFont="1" applyNumberFormat="1">
      <alignment readingOrder="0"/>
    </xf>
    <xf borderId="10" fillId="0" fontId="4" numFmtId="1" xfId="0" applyAlignment="1" applyBorder="1" applyFont="1" applyNumberFormat="1">
      <alignment horizontal="right" readingOrder="0"/>
    </xf>
    <xf borderId="5" fillId="4" fontId="4" numFmtId="0" xfId="0" applyAlignment="1" applyBorder="1" applyFill="1" applyFont="1">
      <alignment readingOrder="0"/>
    </xf>
    <xf borderId="11" fillId="0" fontId="4" numFmtId="1" xfId="0" applyAlignment="1" applyBorder="1" applyFont="1" applyNumberFormat="1">
      <alignment readingOrder="0"/>
    </xf>
    <xf borderId="8" fillId="0" fontId="4" numFmtId="9" xfId="0" applyBorder="1" applyFont="1" applyNumberFormat="1"/>
    <xf borderId="10" fillId="0" fontId="4" numFmtId="1" xfId="0" applyBorder="1" applyFont="1" applyNumberFormat="1"/>
    <xf borderId="10" fillId="0" fontId="4" numFmtId="0" xfId="0" applyBorder="1" applyFont="1"/>
    <xf borderId="10" fillId="0" fontId="4" numFmtId="0" xfId="0" applyAlignment="1" applyBorder="1" applyFont="1">
      <alignment readingOrder="0"/>
    </xf>
    <xf borderId="5" fillId="5" fontId="4" numFmtId="0" xfId="0" applyAlignment="1" applyBorder="1" applyFill="1" applyFont="1">
      <alignment readingOrder="0"/>
    </xf>
    <xf borderId="5" fillId="2" fontId="4" numFmtId="0" xfId="0" applyAlignment="1" applyBorder="1" applyFill="1" applyFont="1">
      <alignment readingOrder="0"/>
    </xf>
    <xf borderId="3" fillId="5" fontId="4" numFmtId="0" xfId="0" applyBorder="1" applyFill="1" applyFont="1"/>
    <xf borderId="3" fillId="6" fontId="4" numFmtId="0" xfId="0" applyBorder="1" applyFill="1" applyFont="1"/>
    <xf borderId="5" fillId="2" fontId="4" numFmtId="3" xfId="0" applyBorder="1" applyFill="1" applyFont="1" applyNumberFormat="1"/>
    <xf borderId="5" fillId="7" fontId="4" numFmtId="0" xfId="0" applyAlignment="1" applyBorder="1" applyFill="1" applyFont="1">
      <alignment readingOrder="0"/>
    </xf>
    <xf borderId="3" fillId="7" fontId="6" numFmtId="1" xfId="0" applyBorder="1" applyFill="1" applyFont="1" applyNumberFormat="1"/>
    <xf borderId="3" fillId="7" fontId="4" numFmtId="0" xfId="0" applyBorder="1" applyFill="1" applyFont="1"/>
    <xf borderId="5" fillId="8" fontId="4" numFmtId="0" xfId="0" applyAlignment="1" applyBorder="1" applyFill="1" applyFont="1">
      <alignment readingOrder="0"/>
    </xf>
    <xf borderId="3" fillId="8" fontId="4" numFmtId="0" xfId="0" applyBorder="1" applyFill="1" applyFont="1"/>
    <xf borderId="5" fillId="9" fontId="4" numFmtId="0" xfId="0" applyAlignment="1" applyBorder="1" applyFill="1" applyFont="1">
      <alignment readingOrder="0"/>
    </xf>
    <xf borderId="3" fillId="9" fontId="4" numFmtId="9" xfId="0" applyBorder="1" applyFill="1" applyFont="1" applyNumberFormat="1"/>
    <xf borderId="5" fillId="10" fontId="4" numFmtId="0" xfId="0" applyAlignment="1" applyBorder="1" applyFill="1" applyFont="1">
      <alignment readingOrder="0"/>
    </xf>
    <xf borderId="3" fillId="10" fontId="4" numFmtId="9" xfId="0" applyBorder="1" applyFill="1" applyFont="1" applyNumberFormat="1"/>
    <xf borderId="5" fillId="11" fontId="4" numFmtId="0" xfId="0" applyAlignment="1" applyBorder="1" applyFill="1" applyFont="1">
      <alignment readingOrder="0"/>
    </xf>
    <xf borderId="3" fillId="11" fontId="4" numFmtId="9" xfId="0" applyBorder="1" applyFill="1" applyFont="1" applyNumberFormat="1"/>
    <xf borderId="6" fillId="12" fontId="4" numFmtId="0" xfId="0" applyAlignment="1" applyBorder="1" applyFill="1" applyFont="1">
      <alignment readingOrder="0"/>
    </xf>
    <xf borderId="3" fillId="12" fontId="4" numFmtId="9" xfId="0" applyBorder="1" applyFill="1" applyFont="1" applyNumberFormat="1"/>
    <xf borderId="8" fillId="0" fontId="4" numFmtId="3" xfId="0" applyBorder="1" applyFont="1" applyNumberFormat="1"/>
    <xf borderId="9" fillId="0" fontId="4" numFmtId="0" xfId="0" applyAlignment="1" applyBorder="1" applyFont="1">
      <alignment readingOrder="0"/>
    </xf>
    <xf borderId="4" fillId="0" fontId="4" numFmtId="3" xfId="0" applyBorder="1" applyFont="1" applyNumberFormat="1"/>
    <xf borderId="10" fillId="0" fontId="4" numFmtId="9" xfId="0" applyBorder="1" applyFont="1" applyNumberFormat="1"/>
    <xf borderId="12" fillId="0" fontId="4" numFmtId="0" xfId="0" applyBorder="1" applyFont="1"/>
    <xf borderId="6" fillId="0" fontId="4" numFmtId="0" xfId="0" applyBorder="1" applyFont="1"/>
    <xf borderId="0" fillId="0" fontId="4" numFmtId="1" xfId="0" applyFont="1" applyNumberFormat="1"/>
    <xf borderId="9" fillId="0" fontId="4" numFmtId="0" xfId="0" applyBorder="1" applyFont="1"/>
    <xf borderId="12" fillId="0" fontId="4" numFmtId="3" xfId="0" applyBorder="1" applyFont="1" applyNumberFormat="1"/>
    <xf borderId="5" fillId="13" fontId="4" numFmtId="0" xfId="0" applyAlignment="1" applyBorder="1" applyFill="1" applyFont="1">
      <alignment readingOrder="0"/>
    </xf>
    <xf borderId="5" fillId="13" fontId="4" numFmtId="3" xfId="0" applyBorder="1" applyFill="1" applyFont="1" applyNumberFormat="1"/>
    <xf borderId="10" fillId="0" fontId="4" numFmtId="3" xfId="0" applyBorder="1" applyFont="1" applyNumberFormat="1"/>
    <xf borderId="13" fillId="0" fontId="4" numFmtId="0" xfId="0" applyBorder="1" applyFont="1"/>
    <xf borderId="11" fillId="0" fontId="4" numFmtId="0" xfId="0" applyBorder="1" applyFont="1"/>
    <xf borderId="1" fillId="14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right" readingOrder="0"/>
    </xf>
    <xf borderId="3" fillId="0" fontId="4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3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vertical="bottom"/>
    </xf>
    <xf borderId="4" fillId="0" fontId="7" numFmtId="0" xfId="0" applyAlignment="1" applyBorder="1" applyFont="1">
      <alignment readingOrder="0"/>
    </xf>
    <xf borderId="3" fillId="0" fontId="9" numFmtId="0" xfId="0" applyAlignment="1" applyBorder="1" applyFont="1">
      <alignment readingOrder="0"/>
    </xf>
    <xf borderId="3" fillId="0" fontId="4" numFmtId="3" xfId="0" applyAlignment="1" applyBorder="1" applyFont="1" applyNumberFormat="1">
      <alignment readingOrder="0"/>
    </xf>
    <xf borderId="7" fillId="0" fontId="4" numFmtId="0" xfId="0" applyBorder="1" applyFont="1"/>
    <xf borderId="3" fillId="0" fontId="4" numFmtId="0" xfId="0" applyAlignment="1" applyBorder="1" applyFont="1">
      <alignment horizontal="right"/>
    </xf>
    <xf borderId="10" fillId="0" fontId="4" numFmtId="0" xfId="0" applyAlignment="1" applyBorder="1" applyFont="1">
      <alignment horizontal="right"/>
    </xf>
    <xf borderId="1" fillId="14" fontId="10" numFmtId="0" xfId="0" applyAlignment="1" applyBorder="1" applyFill="1" applyFont="1">
      <alignment readingOrder="0"/>
    </xf>
    <xf borderId="8" fillId="0" fontId="4" numFmtId="10" xfId="0" applyBorder="1" applyFont="1" applyNumberFormat="1"/>
    <xf borderId="0" fillId="0" fontId="4" numFmtId="3" xfId="0" applyFont="1" applyNumberFormat="1"/>
    <xf borderId="3" fillId="0" fontId="4" numFmtId="9" xfId="0" applyBorder="1" applyFont="1" applyNumberFormat="1"/>
    <xf borderId="1" fillId="14" fontId="4" numFmtId="0" xfId="0" applyAlignment="1" applyBorder="1" applyFill="1" applyFont="1">
      <alignment readingOrder="0"/>
    </xf>
    <xf borderId="6" fillId="0" fontId="4" numFmtId="9" xfId="0" applyBorder="1" applyFont="1" applyNumberFormat="1"/>
    <xf borderId="6" fillId="0" fontId="4" numFmtId="4" xfId="0" applyBorder="1" applyFont="1" applyNumberFormat="1"/>
    <xf borderId="0" fillId="0" fontId="3" numFmtId="0" xfId="0" applyAlignment="1" applyFont="1">
      <alignment readingOrder="0" vertical="bottom"/>
    </xf>
    <xf borderId="8" fillId="0" fontId="4" numFmtId="49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15" width="8.75"/>
    <col customWidth="1" min="16" max="16" width="11.25"/>
  </cols>
  <sheetData>
    <row r="1">
      <c r="B1" s="1" t="s">
        <v>0</v>
      </c>
      <c r="Z1" s="5" t="s">
        <v>4</v>
      </c>
    </row>
    <row r="2">
      <c r="P2" s="9">
        <f>COUNTA(C3:O3)</f>
        <v>13</v>
      </c>
      <c r="Z2" s="5" t="s">
        <v>11</v>
      </c>
      <c r="AA2" s="5" t="s">
        <v>12</v>
      </c>
    </row>
    <row r="3">
      <c r="A3" s="11" t="s">
        <v>13</v>
      </c>
      <c r="B3" s="12" t="s">
        <v>14</v>
      </c>
      <c r="C3" s="12" t="s">
        <v>16</v>
      </c>
      <c r="D3" s="12" t="s">
        <v>17</v>
      </c>
      <c r="E3" s="12" t="s">
        <v>18</v>
      </c>
      <c r="F3" s="12" t="s">
        <v>19</v>
      </c>
      <c r="G3" s="12" t="s">
        <v>20</v>
      </c>
      <c r="H3" s="12" t="s">
        <v>21</v>
      </c>
      <c r="I3" s="12" t="s">
        <v>22</v>
      </c>
      <c r="J3" s="12" t="s">
        <v>23</v>
      </c>
      <c r="K3" s="12" t="s">
        <v>24</v>
      </c>
      <c r="L3" s="12" t="s">
        <v>25</v>
      </c>
      <c r="M3" s="12" t="s">
        <v>26</v>
      </c>
      <c r="N3" s="12" t="s">
        <v>27</v>
      </c>
      <c r="O3" s="12" t="s">
        <v>28</v>
      </c>
      <c r="P3" s="12" t="s">
        <v>30</v>
      </c>
      <c r="Q3" s="12" t="s">
        <v>31</v>
      </c>
      <c r="Z3" s="5">
        <v>1.0</v>
      </c>
      <c r="AA3" s="14">
        <v>2651999.0</v>
      </c>
    </row>
    <row r="4">
      <c r="A4" s="12" t="s">
        <v>32</v>
      </c>
      <c r="B4" s="16">
        <f t="shared" ref="B4:B7" si="1">max(C4:N4)</f>
        <v>1025079</v>
      </c>
      <c r="C4" s="16">
        <v>1022556.0</v>
      </c>
      <c r="D4" s="17">
        <v>507470.0</v>
      </c>
      <c r="E4" s="18">
        <v>1021696.0</v>
      </c>
      <c r="F4" s="17">
        <v>1022115.0</v>
      </c>
      <c r="G4" s="17">
        <v>967433.0</v>
      </c>
      <c r="H4" s="18">
        <v>964093.0</v>
      </c>
      <c r="I4" s="14">
        <v>858883.0</v>
      </c>
      <c r="J4" s="19"/>
      <c r="K4" s="19"/>
      <c r="L4" s="17">
        <v>193260.0</v>
      </c>
      <c r="M4" s="17">
        <v>1025079.0</v>
      </c>
      <c r="N4" s="19"/>
      <c r="O4" s="19"/>
      <c r="P4" s="8">
        <f t="shared" ref="P4:P7" si="2">MINIFS($C4:$O4,$C4:$O4,"&gt;0")</f>
        <v>193260</v>
      </c>
      <c r="Q4" s="13"/>
      <c r="Z4" s="5">
        <v>2.0</v>
      </c>
      <c r="AA4" s="14">
        <v>2650005.0</v>
      </c>
    </row>
    <row r="5">
      <c r="A5" s="12" t="s">
        <v>33</v>
      </c>
      <c r="B5" s="16">
        <f t="shared" si="1"/>
        <v>516557</v>
      </c>
      <c r="C5" s="5">
        <v>507906.0</v>
      </c>
      <c r="D5" s="17">
        <v>301747.0</v>
      </c>
      <c r="E5" s="18">
        <v>512115.0</v>
      </c>
      <c r="F5" s="17">
        <v>507906.0</v>
      </c>
      <c r="G5" s="17">
        <v>505619.0</v>
      </c>
      <c r="H5" s="18">
        <v>497300.0</v>
      </c>
      <c r="I5" s="14">
        <v>491182.0</v>
      </c>
      <c r="J5" s="19"/>
      <c r="K5" s="19"/>
      <c r="L5" s="17">
        <v>464429.0</v>
      </c>
      <c r="M5" s="17">
        <v>516557.0</v>
      </c>
      <c r="N5" s="19"/>
      <c r="O5" s="19"/>
      <c r="P5" s="8">
        <f t="shared" si="2"/>
        <v>301747</v>
      </c>
      <c r="Q5" s="8"/>
      <c r="Z5" s="5">
        <v>3.0</v>
      </c>
      <c r="AA5" s="14">
        <v>2649544.0</v>
      </c>
    </row>
    <row r="6">
      <c r="A6" s="12" t="s">
        <v>34</v>
      </c>
      <c r="B6" s="16">
        <f t="shared" si="1"/>
        <v>500000</v>
      </c>
      <c r="C6" s="16">
        <v>499966.0</v>
      </c>
      <c r="D6" s="17">
        <v>327080.0</v>
      </c>
      <c r="E6" s="18">
        <v>499966.0</v>
      </c>
      <c r="F6" s="17">
        <v>499966.0</v>
      </c>
      <c r="G6" s="17">
        <v>499979.0</v>
      </c>
      <c r="H6" s="18">
        <v>499966.0</v>
      </c>
      <c r="I6" s="14">
        <v>499991.0</v>
      </c>
      <c r="J6" s="19"/>
      <c r="K6" s="19"/>
      <c r="L6" s="17">
        <v>499797.0</v>
      </c>
      <c r="M6" s="17">
        <v>500000.0</v>
      </c>
      <c r="N6" s="19"/>
      <c r="O6" s="19"/>
      <c r="P6" s="8">
        <f t="shared" si="2"/>
        <v>327080</v>
      </c>
      <c r="Q6" s="22"/>
      <c r="Z6" s="5">
        <v>4.0</v>
      </c>
      <c r="AA6" s="14">
        <v>2646990.0</v>
      </c>
    </row>
    <row r="7">
      <c r="A7" s="12" t="s">
        <v>35</v>
      </c>
      <c r="B7" s="23">
        <f t="shared" si="1"/>
        <v>614545</v>
      </c>
      <c r="C7" s="23">
        <v>611597.0</v>
      </c>
      <c r="D7" s="24">
        <v>24748.0</v>
      </c>
      <c r="E7" s="25">
        <v>610596.0</v>
      </c>
      <c r="F7" s="24">
        <v>609385.0</v>
      </c>
      <c r="G7" s="24">
        <v>605129.0</v>
      </c>
      <c r="H7" s="25">
        <v>603656.0</v>
      </c>
      <c r="I7" s="27">
        <v>560579.0</v>
      </c>
      <c r="J7" s="29"/>
      <c r="K7" s="29"/>
      <c r="L7" s="24">
        <v>537419.0</v>
      </c>
      <c r="M7" s="24">
        <v>614545.0</v>
      </c>
      <c r="N7" s="29"/>
      <c r="O7" s="29"/>
      <c r="P7" s="30">
        <f t="shared" si="2"/>
        <v>24748</v>
      </c>
      <c r="Q7" s="31"/>
      <c r="Z7" s="5">
        <v>5.0</v>
      </c>
      <c r="AA7" s="14">
        <v>2646341.0</v>
      </c>
    </row>
    <row r="8">
      <c r="Q8" s="5"/>
      <c r="Z8" s="5">
        <v>6.0</v>
      </c>
      <c r="AA8" s="14">
        <v>2645237.0</v>
      </c>
    </row>
    <row r="9">
      <c r="A9" s="33" t="s">
        <v>37</v>
      </c>
      <c r="B9" s="36">
        <f t="array" ref="B9">SUM(IFERROR(B4:B7*1,VALUE(SUBSTITUTE(B4:B7," ",""))))</f>
        <v>2656181</v>
      </c>
      <c r="C9" s="36">
        <f t="array" ref="C9">SUM(IFERROR(C4:C7*1,VALUE(SUBSTITUTE(C4:C7," ",""))))</f>
        <v>2642025</v>
      </c>
      <c r="D9" s="36">
        <f t="array" ref="D9">SUM(IFERROR(D4:D7*1,VALUE(SUBSTITUTE(D4:D7," ",""))))</f>
        <v>1161045</v>
      </c>
      <c r="E9" s="36">
        <f t="array" ref="E9">SUM(IFERROR(E4:E7*1,VALUE(SUBSTITUTE(E4:E7," ",""))))</f>
        <v>2644373</v>
      </c>
      <c r="F9" s="36">
        <f t="array" ref="F9">SUM(IFERROR(F4:F7*1,VALUE(SUBSTITUTE(F4:F7," ",""))))</f>
        <v>2639372</v>
      </c>
      <c r="G9" s="36">
        <f t="array" ref="G9">SUM(IFERROR(G4:G7*1,VALUE(SUBSTITUTE(G4:G7," ",""))))</f>
        <v>2578160</v>
      </c>
      <c r="H9" s="36">
        <f t="array" ref="H9">SUM(IFERROR(H4:H7*1,VALUE(SUBSTITUTE(H4:H7," ",""))))</f>
        <v>2565015</v>
      </c>
      <c r="I9" s="36">
        <f t="array" ref="I9">SUM(IFERROR(I5:I7*1,VALUE(SUBSTITUTE(I5:I7," ",""))))</f>
        <v>1551752</v>
      </c>
      <c r="J9" s="36">
        <f t="array" ref="J9">SUM(IFERROR(J4:J7*1,VALUE(SUBSTITUTE(J4:J7," ",""))))</f>
        <v>0</v>
      </c>
      <c r="K9" s="36">
        <f t="array" ref="K9">SUM(IFERROR(K4:K7*1,VALUE(SUBSTITUTE(K4:K7," ",""))))</f>
        <v>0</v>
      </c>
      <c r="L9" s="36">
        <f t="array" ref="L9">SUM(IFERROR(L4:L7*1,VALUE(SUBSTITUTE(L4:L7," ",""))))</f>
        <v>1694905</v>
      </c>
      <c r="M9" s="36">
        <f t="array" ref="M9">SUM(IFERROR(M4:M7*1,VALUE(SUBSTITUTE(M4:M7," ",""))))</f>
        <v>2656181</v>
      </c>
      <c r="N9" s="36">
        <f t="array" ref="N9">SUM(IFERROR(N4:N7*1,VALUE(SUBSTITUTE(N4:N7," ",""))))</f>
        <v>0</v>
      </c>
      <c r="O9" s="36">
        <f t="array" ref="O9">SUM(IFERROR(O4:O7*1,VALUE(SUBSTITUTE(O4:O7," ",""))))</f>
        <v>0</v>
      </c>
      <c r="Q9" s="5"/>
      <c r="Z9" s="5">
        <v>7.0</v>
      </c>
      <c r="AA9" s="14">
        <v>2644948.0</v>
      </c>
    </row>
    <row r="10">
      <c r="Z10" s="5">
        <v>8.0</v>
      </c>
      <c r="AA10" s="14">
        <v>2644019.0</v>
      </c>
    </row>
    <row r="11">
      <c r="A11" s="12" t="s">
        <v>45</v>
      </c>
      <c r="B11" s="54">
        <f t="shared" ref="B11:N11" si="3">IF(B9=0, "", COUNTIF($AA$3:$AA$2817, "&gt;"&amp;B9) + 1)</f>
        <v>3</v>
      </c>
      <c r="C11" s="54">
        <f t="shared" si="3"/>
        <v>12</v>
      </c>
      <c r="D11" s="55">
        <f t="shared" si="3"/>
        <v>1573</v>
      </c>
      <c r="E11" s="55">
        <f t="shared" si="3"/>
        <v>10</v>
      </c>
      <c r="F11" s="55">
        <f t="shared" si="3"/>
        <v>18</v>
      </c>
      <c r="G11" s="55">
        <f t="shared" si="3"/>
        <v>56</v>
      </c>
      <c r="H11" s="55">
        <f t="shared" si="3"/>
        <v>66</v>
      </c>
      <c r="I11" s="55">
        <f t="shared" si="3"/>
        <v>1272</v>
      </c>
      <c r="J11" s="55" t="str">
        <f t="shared" si="3"/>
        <v/>
      </c>
      <c r="K11" s="55" t="str">
        <f t="shared" si="3"/>
        <v/>
      </c>
      <c r="L11" s="55">
        <f t="shared" si="3"/>
        <v>1138</v>
      </c>
      <c r="M11" s="55">
        <f t="shared" si="3"/>
        <v>3</v>
      </c>
      <c r="N11" s="55" t="str">
        <f t="shared" si="3"/>
        <v/>
      </c>
      <c r="O11" s="55"/>
      <c r="Z11" s="5">
        <v>9.0</v>
      </c>
      <c r="AA11" s="14">
        <v>2642844.0</v>
      </c>
    </row>
    <row r="12">
      <c r="A12" s="12" t="s">
        <v>46</v>
      </c>
      <c r="B12" s="57"/>
      <c r="C12" s="57">
        <f t="shared" ref="C12:O12" si="4">IF(C9=0, $P$2, RANK(C9,$C$9:$N$9,0))</f>
        <v>3</v>
      </c>
      <c r="D12" s="57">
        <f t="shared" si="4"/>
        <v>9</v>
      </c>
      <c r="E12" s="57">
        <f t="shared" si="4"/>
        <v>2</v>
      </c>
      <c r="F12" s="57">
        <f t="shared" si="4"/>
        <v>4</v>
      </c>
      <c r="G12" s="57">
        <f t="shared" si="4"/>
        <v>5</v>
      </c>
      <c r="H12" s="57">
        <f t="shared" si="4"/>
        <v>6</v>
      </c>
      <c r="I12" s="57">
        <f t="shared" si="4"/>
        <v>8</v>
      </c>
      <c r="J12" s="57">
        <f t="shared" si="4"/>
        <v>13</v>
      </c>
      <c r="K12" s="57">
        <f t="shared" si="4"/>
        <v>13</v>
      </c>
      <c r="L12" s="57">
        <f t="shared" si="4"/>
        <v>7</v>
      </c>
      <c r="M12" s="57">
        <f t="shared" si="4"/>
        <v>1</v>
      </c>
      <c r="N12" s="57">
        <f t="shared" si="4"/>
        <v>13</v>
      </c>
      <c r="O12" s="57">
        <f t="shared" si="4"/>
        <v>13</v>
      </c>
      <c r="Z12" s="5">
        <v>10.0</v>
      </c>
      <c r="AA12" s="14">
        <v>2641955.0</v>
      </c>
    </row>
    <row r="13">
      <c r="Z13" s="5">
        <v>11.0</v>
      </c>
      <c r="AA13" s="14">
        <v>2641125.0</v>
      </c>
    </row>
    <row r="14">
      <c r="Z14" s="5">
        <v>12.0</v>
      </c>
      <c r="AA14" s="14">
        <v>2641021.0</v>
      </c>
    </row>
    <row r="15">
      <c r="B15" s="1" t="s">
        <v>47</v>
      </c>
      <c r="Z15" s="5">
        <v>13.0</v>
      </c>
      <c r="AA15" s="14">
        <v>2640554.0</v>
      </c>
    </row>
    <row r="16">
      <c r="Z16" s="5">
        <v>14.0</v>
      </c>
      <c r="AA16" s="14">
        <v>2640476.0</v>
      </c>
    </row>
    <row r="17">
      <c r="A17" s="59" t="s">
        <v>37</v>
      </c>
      <c r="B17" s="60"/>
      <c r="C17" s="60">
        <f t="array" ref="C17">IFERROR(SUM(IFERROR(C21:C67*1,VALUE(SUBSTITUTE(C21:C67," ","")))),"")</f>
        <v>23888988</v>
      </c>
      <c r="D17" s="60">
        <f t="array" ref="D17">IFERROR(SUM(IFERROR(D21:D67*1,VALUE(SUBSTITUTE(D21:D67," ","")))),"")</f>
        <v>2692842</v>
      </c>
      <c r="E17" s="60">
        <f t="array" ref="E17">IFERROR(SUM(IFERROR(E21:E67*1,VALUE(SUBSTITUTE(E21:E67," ","")))),"")</f>
        <v>25636316</v>
      </c>
      <c r="F17" s="60">
        <f t="array" ref="F17">IFERROR(SUM(IFERROR(F21:F67*1,VALUE(SUBSTITUTE(F21:F67," ","")))),"")</f>
        <v>5841451</v>
      </c>
      <c r="G17" s="60">
        <f t="array" ref="G17">IFERROR(SUM(IFERROR(G21:G67*1,VALUE(SUBSTITUTE(G21:G67," ","")))),"")</f>
        <v>19750179</v>
      </c>
      <c r="H17" s="60">
        <f t="array" ref="H17">IFERROR(SUM(IFERROR(H21:H67*1,VALUE(SUBSTITUTE(H21:H67," ","")))),"")</f>
        <v>23576321</v>
      </c>
      <c r="I17" s="60">
        <f t="array" ref="I17">IFERROR(SUM(IFERROR(I21:I67*1,VALUE(SUBSTITUTE(I21:I67," ","")))),"")</f>
        <v>25480481</v>
      </c>
      <c r="J17" s="60">
        <f t="array" ref="J17">IFERROR(SUM(IFERROR(J21:J67*1,VALUE(SUBSTITUTE(J21:J67," ","")))),"")</f>
        <v>0</v>
      </c>
      <c r="K17" s="60">
        <f t="array" ref="K17">IFERROR(SUM(IFERROR(K21:K67*1,VALUE(SUBSTITUTE(K21:K67," ","")))),"")</f>
        <v>0</v>
      </c>
      <c r="L17" s="60">
        <f t="array" ref="L17">IFERROR(SUM(IFERROR(L21:L67*1,VALUE(SUBSTITUTE(L21:L67," ","")))),"")</f>
        <v>12960732</v>
      </c>
      <c r="M17" s="60">
        <f t="array" ref="M17">IFERROR(SUM(IFERROR(M21:M67*1,VALUE(SUBSTITUTE(M21:M67," ","")))),"")</f>
        <v>5840224</v>
      </c>
      <c r="N17" s="60">
        <f t="array" ref="N17">IFERROR(SUM(IFERROR(N21:N67*1,VALUE(SUBSTITUTE(N21:N67," ","")))),"")</f>
        <v>0</v>
      </c>
      <c r="O17" s="60">
        <f t="array" ref="O17">IFERROR(SUM(IFERROR(O21:O67*1,VALUE(SUBSTITUTE(O21:O67," ","")))),"")</f>
        <v>0</v>
      </c>
      <c r="Z17" s="5">
        <v>15.0</v>
      </c>
      <c r="AA17" s="14">
        <v>2640301.0</v>
      </c>
    </row>
    <row r="18">
      <c r="A18" s="12" t="s">
        <v>46</v>
      </c>
      <c r="B18" s="30"/>
      <c r="C18" s="30">
        <f t="shared" ref="C18:O18" si="5">IF(C17=0, $P$2, RANK(C17,$C$17:$N$17,0))</f>
        <v>3</v>
      </c>
      <c r="D18" s="30">
        <f t="shared" si="5"/>
        <v>9</v>
      </c>
      <c r="E18" s="30">
        <f t="shared" si="5"/>
        <v>1</v>
      </c>
      <c r="F18" s="30">
        <f t="shared" si="5"/>
        <v>7</v>
      </c>
      <c r="G18" s="30">
        <f t="shared" si="5"/>
        <v>5</v>
      </c>
      <c r="H18" s="30">
        <f t="shared" si="5"/>
        <v>4</v>
      </c>
      <c r="I18" s="30">
        <f t="shared" si="5"/>
        <v>2</v>
      </c>
      <c r="J18" s="30">
        <f t="shared" si="5"/>
        <v>13</v>
      </c>
      <c r="K18" s="30">
        <f t="shared" si="5"/>
        <v>13</v>
      </c>
      <c r="L18" s="30">
        <f t="shared" si="5"/>
        <v>6</v>
      </c>
      <c r="M18" s="30">
        <f t="shared" si="5"/>
        <v>8</v>
      </c>
      <c r="N18" s="30">
        <f t="shared" si="5"/>
        <v>13</v>
      </c>
      <c r="O18" s="30">
        <f t="shared" si="5"/>
        <v>13</v>
      </c>
      <c r="Z18" s="5">
        <v>16.0</v>
      </c>
      <c r="AA18" s="14">
        <v>2639308.0</v>
      </c>
    </row>
    <row r="19">
      <c r="Z19" s="5">
        <v>17.0</v>
      </c>
      <c r="AA19" s="14">
        <v>2638862.0</v>
      </c>
    </row>
    <row r="20">
      <c r="A20" s="11" t="s">
        <v>13</v>
      </c>
      <c r="B20" s="13" t="s">
        <v>14</v>
      </c>
      <c r="C20" s="13" t="s">
        <v>16</v>
      </c>
      <c r="D20" s="13" t="s">
        <v>17</v>
      </c>
      <c r="E20" s="13" t="s">
        <v>18</v>
      </c>
      <c r="F20" s="13" t="s">
        <v>19</v>
      </c>
      <c r="G20" s="13" t="s">
        <v>20</v>
      </c>
      <c r="H20" s="13" t="s">
        <v>21</v>
      </c>
      <c r="I20" s="13" t="s">
        <v>22</v>
      </c>
      <c r="J20" s="13" t="s">
        <v>23</v>
      </c>
      <c r="K20" s="13" t="s">
        <v>24</v>
      </c>
      <c r="L20" s="13" t="s">
        <v>25</v>
      </c>
      <c r="M20" s="13" t="s">
        <v>26</v>
      </c>
      <c r="N20" s="13" t="s">
        <v>27</v>
      </c>
      <c r="O20" s="13" t="s">
        <v>28</v>
      </c>
      <c r="P20" s="13" t="s">
        <v>30</v>
      </c>
      <c r="Q20" s="12" t="s">
        <v>31</v>
      </c>
      <c r="Z20" s="5">
        <v>18.0</v>
      </c>
      <c r="AA20" s="14">
        <v>2638613.0</v>
      </c>
    </row>
    <row r="21">
      <c r="A21" s="65" t="s">
        <v>48</v>
      </c>
      <c r="B21" s="13">
        <f t="shared" ref="B21:B67" si="6">max(C21:N21)</f>
        <v>64697</v>
      </c>
      <c r="C21" s="13">
        <v>64697.0</v>
      </c>
      <c r="D21" s="13">
        <v>6679.0</v>
      </c>
      <c r="E21" s="13">
        <v>64548.0</v>
      </c>
      <c r="F21" s="13">
        <v>64428.0</v>
      </c>
      <c r="G21" s="66">
        <v>62583.0</v>
      </c>
      <c r="H21" s="66">
        <v>62279.0</v>
      </c>
      <c r="I21" s="13">
        <v>59794.0</v>
      </c>
      <c r="J21" s="55"/>
      <c r="K21" s="55"/>
      <c r="L21" s="13">
        <v>50225.0</v>
      </c>
      <c r="M21" s="13">
        <v>64385.0</v>
      </c>
      <c r="N21" s="55"/>
      <c r="O21" s="55"/>
      <c r="P21" s="55">
        <f t="shared" ref="P21:P67" si="7">MINIFS($C21:$O21,$C21:$O21,"&gt;0")</f>
        <v>6679</v>
      </c>
      <c r="Q21" s="13"/>
      <c r="Z21" s="5">
        <v>19.0</v>
      </c>
      <c r="AA21" s="14">
        <v>2638601.0</v>
      </c>
    </row>
    <row r="22">
      <c r="A22" s="65" t="s">
        <v>49</v>
      </c>
      <c r="B22" s="22">
        <f t="shared" si="6"/>
        <v>1342673</v>
      </c>
      <c r="C22" s="22">
        <v>1342673.0</v>
      </c>
      <c r="D22" s="22">
        <v>239241.0</v>
      </c>
      <c r="E22" s="22">
        <v>1341814.0</v>
      </c>
      <c r="F22" s="22">
        <v>1339620.0</v>
      </c>
      <c r="G22" s="67">
        <v>1342549.0</v>
      </c>
      <c r="H22" s="67">
        <v>1341745.0</v>
      </c>
      <c r="I22" s="22">
        <v>1338984.0</v>
      </c>
      <c r="J22" s="8"/>
      <c r="K22" s="8"/>
      <c r="L22" s="22">
        <v>1198668.0</v>
      </c>
      <c r="M22" s="22">
        <v>1339375.0</v>
      </c>
      <c r="N22" s="8"/>
      <c r="O22" s="8"/>
      <c r="P22" s="8">
        <f t="shared" si="7"/>
        <v>239241</v>
      </c>
      <c r="Q22" s="8"/>
      <c r="Z22" s="5">
        <v>20.0</v>
      </c>
      <c r="AA22" s="14">
        <v>2638033.0</v>
      </c>
    </row>
    <row r="23">
      <c r="A23" s="65" t="s">
        <v>15</v>
      </c>
      <c r="B23" s="22">
        <f t="shared" si="6"/>
        <v>975514</v>
      </c>
      <c r="C23" s="22">
        <v>975514.0</v>
      </c>
      <c r="D23" s="22">
        <v>459625.0</v>
      </c>
      <c r="E23" s="22">
        <v>975017.0</v>
      </c>
      <c r="F23" s="22">
        <v>974865.0</v>
      </c>
      <c r="G23" s="67">
        <v>971833.0</v>
      </c>
      <c r="H23" s="67">
        <v>971786.0</v>
      </c>
      <c r="I23" s="22">
        <v>971867.0</v>
      </c>
      <c r="J23" s="8"/>
      <c r="K23" s="8"/>
      <c r="L23" s="22">
        <v>141391.0</v>
      </c>
      <c r="M23" s="22">
        <v>974865.0</v>
      </c>
      <c r="N23" s="8"/>
      <c r="O23" s="8"/>
      <c r="P23" s="8">
        <f t="shared" si="7"/>
        <v>141391</v>
      </c>
      <c r="Q23" s="22"/>
      <c r="Z23" s="5">
        <v>21.0</v>
      </c>
      <c r="AA23" s="14">
        <v>2637842.0</v>
      </c>
    </row>
    <row r="24">
      <c r="A24" s="65" t="s">
        <v>50</v>
      </c>
      <c r="B24" s="22">
        <f t="shared" si="6"/>
        <v>1498093</v>
      </c>
      <c r="C24" s="22">
        <v>1498093.0</v>
      </c>
      <c r="D24" s="22">
        <v>1364340.0</v>
      </c>
      <c r="E24" s="22">
        <v>1496436.0</v>
      </c>
      <c r="F24" s="22">
        <v>1496448.0</v>
      </c>
      <c r="G24" s="22">
        <v>1496448.0</v>
      </c>
      <c r="H24" s="67">
        <v>1417781.0</v>
      </c>
      <c r="I24" s="22">
        <v>1383174.0</v>
      </c>
      <c r="J24" s="8"/>
      <c r="K24" s="8"/>
      <c r="L24" s="22">
        <v>954936.0</v>
      </c>
      <c r="M24" s="22">
        <v>1496236.0</v>
      </c>
      <c r="N24" s="8"/>
      <c r="O24" s="8"/>
      <c r="P24" s="8">
        <f t="shared" si="7"/>
        <v>954936</v>
      </c>
      <c r="Q24" s="22"/>
      <c r="Z24" s="5">
        <v>22.0</v>
      </c>
      <c r="AA24" s="14">
        <v>2637829.0</v>
      </c>
    </row>
    <row r="25">
      <c r="A25" s="65" t="s">
        <v>51</v>
      </c>
      <c r="B25" s="22">
        <f t="shared" si="6"/>
        <v>1971053</v>
      </c>
      <c r="C25" s="22">
        <v>1971053.0</v>
      </c>
      <c r="D25" s="22">
        <v>622957.0</v>
      </c>
      <c r="E25" s="22">
        <v>1965727.0</v>
      </c>
      <c r="F25" s="22">
        <v>1966090.0</v>
      </c>
      <c r="G25" s="67">
        <v>1919527.0</v>
      </c>
      <c r="H25" s="67">
        <v>1915567.0</v>
      </c>
      <c r="I25" s="22">
        <v>1884259.0</v>
      </c>
      <c r="J25" s="8"/>
      <c r="K25" s="8"/>
      <c r="L25" s="22">
        <v>1368368.0</v>
      </c>
      <c r="M25" s="22">
        <v>1965363.0</v>
      </c>
      <c r="N25" s="8"/>
      <c r="O25" s="8"/>
      <c r="P25" s="8">
        <f t="shared" si="7"/>
        <v>622957</v>
      </c>
      <c r="Q25" s="22"/>
      <c r="Z25" s="5">
        <v>23.0</v>
      </c>
      <c r="AA25" s="14">
        <v>2637814.0</v>
      </c>
    </row>
    <row r="26">
      <c r="A26" s="68" t="s">
        <v>52</v>
      </c>
      <c r="B26" s="22">
        <f t="shared" si="6"/>
        <v>1798985</v>
      </c>
      <c r="C26" s="22">
        <v>1798880.0</v>
      </c>
      <c r="D26" s="22"/>
      <c r="E26" s="22">
        <v>1798985.0</v>
      </c>
      <c r="F26" s="22"/>
      <c r="G26" s="22">
        <v>1733652.0</v>
      </c>
      <c r="H26" s="22">
        <v>1728816.0</v>
      </c>
      <c r="I26" s="22">
        <v>1711923.0</v>
      </c>
      <c r="J26" s="8"/>
      <c r="K26" s="8"/>
      <c r="L26" s="22">
        <v>839358.0</v>
      </c>
      <c r="M26" s="22"/>
      <c r="N26" s="8"/>
      <c r="O26" s="8"/>
      <c r="P26" s="8">
        <f t="shared" si="7"/>
        <v>839358</v>
      </c>
      <c r="Q26" s="22"/>
      <c r="Z26" s="5">
        <v>24.0</v>
      </c>
      <c r="AA26" s="14">
        <v>2637310.0</v>
      </c>
    </row>
    <row r="27">
      <c r="A27" s="68" t="s">
        <v>53</v>
      </c>
      <c r="B27" s="22">
        <f t="shared" si="6"/>
        <v>1836469</v>
      </c>
      <c r="C27" s="22">
        <v>1836310.0</v>
      </c>
      <c r="D27" s="22"/>
      <c r="E27" s="22">
        <v>1836469.0</v>
      </c>
      <c r="F27" s="22"/>
      <c r="G27" s="22">
        <v>1805632.0</v>
      </c>
      <c r="H27" s="22">
        <v>1801898.0</v>
      </c>
      <c r="I27" s="22">
        <v>1774189.0</v>
      </c>
      <c r="J27" s="8"/>
      <c r="K27" s="8"/>
      <c r="L27" s="22">
        <v>1252441.0</v>
      </c>
      <c r="M27" s="22"/>
      <c r="N27" s="8"/>
      <c r="O27" s="8"/>
      <c r="P27" s="8">
        <f t="shared" si="7"/>
        <v>1252441</v>
      </c>
      <c r="Q27" s="22"/>
      <c r="Z27" s="5">
        <v>25.0</v>
      </c>
      <c r="AA27" s="14">
        <v>2636013.0</v>
      </c>
    </row>
    <row r="28">
      <c r="A28" s="69" t="s">
        <v>54</v>
      </c>
      <c r="B28" s="22">
        <f t="shared" si="6"/>
        <v>2019441</v>
      </c>
      <c r="C28" s="70">
        <v>2019395.0</v>
      </c>
      <c r="D28" s="71"/>
      <c r="E28" s="70">
        <v>2019433.0</v>
      </c>
      <c r="F28" s="71"/>
      <c r="G28" s="70">
        <v>2019441.0</v>
      </c>
      <c r="H28" s="70">
        <v>2017043.0</v>
      </c>
      <c r="I28" s="70">
        <v>2006485.0</v>
      </c>
      <c r="J28" s="71"/>
      <c r="K28" s="8"/>
      <c r="L28" s="22">
        <v>1120292.0</v>
      </c>
      <c r="M28" s="8"/>
      <c r="N28" s="8"/>
      <c r="O28" s="8"/>
      <c r="P28" s="8">
        <f t="shared" si="7"/>
        <v>1120292</v>
      </c>
      <c r="Q28" s="8"/>
      <c r="Z28" s="5">
        <v>26.0</v>
      </c>
      <c r="AA28" s="14">
        <v>2632701.0</v>
      </c>
    </row>
    <row r="29">
      <c r="A29" s="72" t="s">
        <v>55</v>
      </c>
      <c r="B29" s="22">
        <f t="shared" si="6"/>
        <v>1977713</v>
      </c>
      <c r="C29" s="70">
        <v>1976501.0</v>
      </c>
      <c r="D29" s="71"/>
      <c r="E29" s="70">
        <v>1976566.0</v>
      </c>
      <c r="F29" s="71"/>
      <c r="G29" s="70">
        <v>1977713.0</v>
      </c>
      <c r="H29" s="70">
        <v>1976032.0</v>
      </c>
      <c r="I29" s="70">
        <v>1969132.0</v>
      </c>
      <c r="J29" s="71"/>
      <c r="K29" s="8"/>
      <c r="L29" s="22">
        <v>1230495.0</v>
      </c>
      <c r="M29" s="8"/>
      <c r="N29" s="8"/>
      <c r="O29" s="8"/>
      <c r="P29" s="8">
        <f t="shared" si="7"/>
        <v>1230495</v>
      </c>
      <c r="Q29" s="8"/>
      <c r="Z29" s="5">
        <v>27.0</v>
      </c>
      <c r="AA29" s="14">
        <v>2632267.0</v>
      </c>
    </row>
    <row r="30">
      <c r="A30" s="68" t="s">
        <v>56</v>
      </c>
      <c r="B30" s="22">
        <f t="shared" si="6"/>
        <v>2370771</v>
      </c>
      <c r="C30" s="22">
        <v>2362511.0</v>
      </c>
      <c r="D30" s="8"/>
      <c r="E30" s="22">
        <v>2370771.0</v>
      </c>
      <c r="F30" s="8"/>
      <c r="G30" s="22">
        <v>2366036.0</v>
      </c>
      <c r="H30" s="67">
        <v>2346109.0</v>
      </c>
      <c r="I30" s="22">
        <v>2307011.0</v>
      </c>
      <c r="J30" s="8"/>
      <c r="K30" s="8"/>
      <c r="L30" s="22">
        <v>2298160.0</v>
      </c>
      <c r="M30" s="8"/>
      <c r="N30" s="8"/>
      <c r="O30" s="8"/>
      <c r="P30" s="8">
        <f t="shared" si="7"/>
        <v>2298160</v>
      </c>
      <c r="Q30" s="8"/>
      <c r="Z30" s="5">
        <v>28.0</v>
      </c>
      <c r="AA30" s="14">
        <v>2629225.0</v>
      </c>
    </row>
    <row r="31">
      <c r="A31" s="68" t="s">
        <v>57</v>
      </c>
      <c r="B31" s="22">
        <f t="shared" si="6"/>
        <v>1919449</v>
      </c>
      <c r="C31" s="22">
        <v>1903658.0</v>
      </c>
      <c r="D31" s="8"/>
      <c r="E31" s="22">
        <v>1919449.0</v>
      </c>
      <c r="F31" s="8"/>
      <c r="G31" s="22">
        <v>1906354.0</v>
      </c>
      <c r="H31" s="22">
        <v>1889273.0</v>
      </c>
      <c r="I31" s="22">
        <v>1879209.0</v>
      </c>
      <c r="J31" s="8"/>
      <c r="K31" s="8"/>
      <c r="L31" s="22">
        <v>1886973.0</v>
      </c>
      <c r="M31" s="8"/>
      <c r="N31" s="8"/>
      <c r="O31" s="8"/>
      <c r="P31" s="8">
        <f t="shared" si="7"/>
        <v>1879209</v>
      </c>
      <c r="Q31" s="8"/>
      <c r="Z31" s="5">
        <v>29.0</v>
      </c>
      <c r="AA31" s="14">
        <v>2628586.0</v>
      </c>
    </row>
    <row r="32">
      <c r="A32" s="68" t="s">
        <v>58</v>
      </c>
      <c r="B32" s="22">
        <f t="shared" si="6"/>
        <v>271267</v>
      </c>
      <c r="C32" s="22">
        <v>249794.0</v>
      </c>
      <c r="D32" s="8"/>
      <c r="E32" s="22">
        <v>271267.0</v>
      </c>
      <c r="F32" s="8"/>
      <c r="G32" s="22">
        <v>249794.0</v>
      </c>
      <c r="H32" s="67">
        <v>249794.0</v>
      </c>
      <c r="I32" s="22">
        <v>271267.0</v>
      </c>
      <c r="J32" s="8"/>
      <c r="K32" s="8"/>
      <c r="L32" s="73">
        <v>249794.0</v>
      </c>
      <c r="M32" s="8"/>
      <c r="N32" s="8"/>
      <c r="O32" s="8"/>
      <c r="P32" s="8">
        <f t="shared" si="7"/>
        <v>249794</v>
      </c>
      <c r="Q32" s="8"/>
      <c r="Z32" s="5">
        <v>30.0</v>
      </c>
      <c r="AA32" s="14">
        <v>2628109.0</v>
      </c>
    </row>
    <row r="33">
      <c r="A33" s="68" t="s">
        <v>59</v>
      </c>
      <c r="B33" s="22">
        <f t="shared" si="6"/>
        <v>411743</v>
      </c>
      <c r="C33" s="22">
        <v>369631.0</v>
      </c>
      <c r="D33" s="8"/>
      <c r="E33" s="22">
        <v>411743.0</v>
      </c>
      <c r="F33" s="8"/>
      <c r="G33" s="22">
        <v>369631.0</v>
      </c>
      <c r="H33" s="67">
        <v>369631.0</v>
      </c>
      <c r="I33" s="22">
        <v>411743.0</v>
      </c>
      <c r="J33" s="8"/>
      <c r="K33" s="8"/>
      <c r="L33" s="22">
        <v>369631.0</v>
      </c>
      <c r="M33" s="8"/>
      <c r="N33" s="8"/>
      <c r="O33" s="8"/>
      <c r="P33" s="8">
        <f t="shared" si="7"/>
        <v>369631</v>
      </c>
      <c r="Q33" s="8"/>
      <c r="Z33" s="5">
        <v>31.0</v>
      </c>
      <c r="AA33" s="14">
        <v>2627501.0</v>
      </c>
    </row>
    <row r="34">
      <c r="A34" s="68" t="s">
        <v>60</v>
      </c>
      <c r="B34" s="22">
        <f t="shared" si="6"/>
        <v>249794</v>
      </c>
      <c r="C34" s="22">
        <v>131569.0</v>
      </c>
      <c r="D34" s="8"/>
      <c r="E34" s="22">
        <v>131804.0</v>
      </c>
      <c r="F34" s="8"/>
      <c r="G34" s="22">
        <v>249794.0</v>
      </c>
      <c r="H34" s="67">
        <v>126093.0</v>
      </c>
      <c r="I34" s="22">
        <v>121406.0</v>
      </c>
      <c r="J34" s="8"/>
      <c r="K34" s="8"/>
      <c r="L34" s="8"/>
      <c r="M34" s="8"/>
      <c r="N34" s="8"/>
      <c r="O34" s="8"/>
      <c r="P34" s="8">
        <f t="shared" si="7"/>
        <v>121406</v>
      </c>
      <c r="Q34" s="8"/>
      <c r="Z34" s="5">
        <v>32.0</v>
      </c>
      <c r="AA34" s="14">
        <v>2625970.0</v>
      </c>
    </row>
    <row r="35">
      <c r="A35" s="68" t="s">
        <v>61</v>
      </c>
      <c r="B35" s="22">
        <f t="shared" si="6"/>
        <v>1283215</v>
      </c>
      <c r="C35" s="22">
        <v>1272204.0</v>
      </c>
      <c r="D35" s="8"/>
      <c r="E35" s="22">
        <v>1281461.0</v>
      </c>
      <c r="F35" s="8"/>
      <c r="G35" s="22">
        <v>1279192.0</v>
      </c>
      <c r="H35" s="67">
        <v>1271986.0</v>
      </c>
      <c r="I35" s="22">
        <v>1283215.0</v>
      </c>
      <c r="J35" s="8"/>
      <c r="K35" s="8"/>
      <c r="L35" s="8"/>
      <c r="M35" s="8"/>
      <c r="N35" s="8"/>
      <c r="O35" s="8"/>
      <c r="P35" s="8">
        <f t="shared" si="7"/>
        <v>1271986</v>
      </c>
      <c r="Q35" s="8"/>
      <c r="Z35" s="5">
        <v>33.0</v>
      </c>
      <c r="AA35" s="14">
        <v>2625294.0</v>
      </c>
    </row>
    <row r="36">
      <c r="A36" s="68" t="s">
        <v>62</v>
      </c>
      <c r="B36" s="22">
        <f t="shared" si="6"/>
        <v>951327</v>
      </c>
      <c r="C36" s="22">
        <v>47672.0</v>
      </c>
      <c r="D36" s="8"/>
      <c r="E36" s="22">
        <v>951327.0</v>
      </c>
      <c r="F36" s="8"/>
      <c r="G36" s="22"/>
      <c r="H36" s="67">
        <v>47672.0</v>
      </c>
      <c r="I36" s="22">
        <v>951327.0</v>
      </c>
      <c r="J36" s="8"/>
      <c r="K36" s="8"/>
      <c r="L36" s="8"/>
      <c r="M36" s="8"/>
      <c r="N36" s="8"/>
      <c r="O36" s="8"/>
      <c r="P36" s="8">
        <f t="shared" si="7"/>
        <v>47672</v>
      </c>
      <c r="Q36" s="8"/>
      <c r="Z36" s="5">
        <v>34.0</v>
      </c>
      <c r="AA36" s="14">
        <v>2624840.0</v>
      </c>
    </row>
    <row r="37">
      <c r="A37" s="68" t="s">
        <v>63</v>
      </c>
      <c r="B37" s="22">
        <f t="shared" si="6"/>
        <v>671392</v>
      </c>
      <c r="C37" s="22">
        <v>344442.0</v>
      </c>
      <c r="D37" s="8"/>
      <c r="E37" s="22">
        <v>655321.0</v>
      </c>
      <c r="F37" s="8"/>
      <c r="G37" s="8"/>
      <c r="H37" s="67">
        <v>344442.0</v>
      </c>
      <c r="I37" s="22">
        <v>671392.0</v>
      </c>
      <c r="J37" s="8"/>
      <c r="K37" s="8"/>
      <c r="L37" s="8"/>
      <c r="M37" s="8"/>
      <c r="N37" s="8"/>
      <c r="O37" s="8"/>
      <c r="P37" s="8">
        <f t="shared" si="7"/>
        <v>344442</v>
      </c>
      <c r="Q37" s="8"/>
      <c r="Z37" s="5">
        <v>35.0</v>
      </c>
      <c r="AA37" s="14">
        <v>2620094.0</v>
      </c>
    </row>
    <row r="38">
      <c r="A38" s="68" t="s">
        <v>64</v>
      </c>
      <c r="B38" s="22">
        <f t="shared" si="6"/>
        <v>832174</v>
      </c>
      <c r="C38" s="22">
        <v>499524.0</v>
      </c>
      <c r="D38" s="8"/>
      <c r="E38" s="22">
        <v>499524.0</v>
      </c>
      <c r="F38" s="8"/>
      <c r="G38" s="8"/>
      <c r="H38" s="67">
        <v>499524.0</v>
      </c>
      <c r="I38" s="22">
        <v>832174.0</v>
      </c>
      <c r="J38" s="8"/>
      <c r="K38" s="8"/>
      <c r="L38" s="8"/>
      <c r="M38" s="8"/>
      <c r="N38" s="8"/>
      <c r="O38" s="8"/>
      <c r="P38" s="8">
        <f t="shared" si="7"/>
        <v>499524</v>
      </c>
      <c r="Q38" s="8"/>
      <c r="Z38" s="5">
        <v>36.0</v>
      </c>
      <c r="AA38" s="14">
        <v>2620067.0</v>
      </c>
    </row>
    <row r="39">
      <c r="A39" s="68" t="s">
        <v>65</v>
      </c>
      <c r="B39" s="22">
        <f t="shared" si="6"/>
        <v>857014</v>
      </c>
      <c r="C39" s="22">
        <v>432762.0</v>
      </c>
      <c r="D39" s="8"/>
      <c r="E39" s="22">
        <v>567228.0</v>
      </c>
      <c r="F39" s="8"/>
      <c r="G39" s="8"/>
      <c r="H39" s="67">
        <v>432762.0</v>
      </c>
      <c r="I39" s="22">
        <v>857014.0</v>
      </c>
      <c r="J39" s="8"/>
      <c r="K39" s="8"/>
      <c r="L39" s="8"/>
      <c r="M39" s="8"/>
      <c r="N39" s="8"/>
      <c r="O39" s="8"/>
      <c r="P39" s="8">
        <f t="shared" si="7"/>
        <v>432762</v>
      </c>
      <c r="Q39" s="8"/>
      <c r="Z39" s="5">
        <v>37.0</v>
      </c>
      <c r="AA39" s="14">
        <v>2618848.0</v>
      </c>
    </row>
    <row r="40">
      <c r="A40" s="68" t="s">
        <v>66</v>
      </c>
      <c r="B40" s="22">
        <f t="shared" si="6"/>
        <v>524928</v>
      </c>
      <c r="C40" s="22">
        <v>475171.0</v>
      </c>
      <c r="D40" s="8"/>
      <c r="E40" s="22">
        <v>524928.0</v>
      </c>
      <c r="F40" s="8"/>
      <c r="G40" s="22"/>
      <c r="H40" s="67">
        <v>475171.0</v>
      </c>
      <c r="I40" s="22">
        <v>524928.0</v>
      </c>
      <c r="J40" s="8"/>
      <c r="K40" s="8"/>
      <c r="L40" s="8"/>
      <c r="M40" s="8"/>
      <c r="N40" s="8"/>
      <c r="O40" s="8"/>
      <c r="P40" s="8">
        <f t="shared" si="7"/>
        <v>475171</v>
      </c>
      <c r="Q40" s="8"/>
      <c r="Z40" s="5">
        <v>38.0</v>
      </c>
      <c r="AA40" s="14">
        <v>2615393.0</v>
      </c>
    </row>
    <row r="41">
      <c r="A41" s="68" t="s">
        <v>67</v>
      </c>
      <c r="B41" s="22">
        <f t="shared" si="6"/>
        <v>940970</v>
      </c>
      <c r="C41" s="22">
        <v>938546.0</v>
      </c>
      <c r="D41" s="8"/>
      <c r="E41" s="22">
        <v>940970.0</v>
      </c>
      <c r="F41" s="8"/>
      <c r="G41" s="8"/>
      <c r="H41" s="67">
        <v>936050.0</v>
      </c>
      <c r="I41" s="22">
        <v>859313.0</v>
      </c>
      <c r="J41" s="8"/>
      <c r="K41" s="8"/>
      <c r="L41" s="8"/>
      <c r="M41" s="8"/>
      <c r="N41" s="8"/>
      <c r="O41" s="8"/>
      <c r="P41" s="8">
        <f t="shared" si="7"/>
        <v>859313</v>
      </c>
      <c r="Q41" s="8"/>
      <c r="Z41" s="5">
        <v>39.0</v>
      </c>
      <c r="AA41" s="14">
        <v>2613952.0</v>
      </c>
    </row>
    <row r="42">
      <c r="A42" s="68" t="s">
        <v>68</v>
      </c>
      <c r="B42" s="22">
        <f t="shared" si="6"/>
        <v>928138</v>
      </c>
      <c r="C42" s="22">
        <v>927815.0</v>
      </c>
      <c r="D42" s="8"/>
      <c r="E42" s="22">
        <v>928138.0</v>
      </c>
      <c r="F42" s="8"/>
      <c r="G42" s="8"/>
      <c r="H42" s="67">
        <v>912052.0</v>
      </c>
      <c r="I42" s="22">
        <v>720314.0</v>
      </c>
      <c r="J42" s="8"/>
      <c r="K42" s="8"/>
      <c r="L42" s="8"/>
      <c r="M42" s="8"/>
      <c r="N42" s="8"/>
      <c r="O42" s="8"/>
      <c r="P42" s="8">
        <f t="shared" si="7"/>
        <v>720314</v>
      </c>
      <c r="Q42" s="8"/>
      <c r="Z42" s="5">
        <v>40.0</v>
      </c>
      <c r="AA42" s="14">
        <v>2613263.0</v>
      </c>
    </row>
    <row r="43">
      <c r="A43" s="65" t="s">
        <v>69</v>
      </c>
      <c r="B43" s="22">
        <f t="shared" si="6"/>
        <v>69683</v>
      </c>
      <c r="C43" s="22">
        <v>64132.0</v>
      </c>
      <c r="D43" s="8"/>
      <c r="E43" s="22">
        <v>69683.0</v>
      </c>
      <c r="F43" s="8"/>
      <c r="G43" s="8"/>
      <c r="H43" s="67">
        <v>64155.0</v>
      </c>
      <c r="I43" s="22">
        <v>69683.0</v>
      </c>
      <c r="J43" s="8"/>
      <c r="K43" s="8"/>
      <c r="L43" s="8"/>
      <c r="M43" s="8"/>
      <c r="N43" s="8"/>
      <c r="O43" s="8"/>
      <c r="P43" s="8">
        <f t="shared" si="7"/>
        <v>64132</v>
      </c>
      <c r="Q43" s="8"/>
      <c r="Z43" s="5">
        <v>41.0</v>
      </c>
      <c r="AA43" s="14">
        <v>2610393.0</v>
      </c>
    </row>
    <row r="44">
      <c r="A44" s="65" t="s">
        <v>70</v>
      </c>
      <c r="B44" s="22">
        <f t="shared" si="6"/>
        <v>284493</v>
      </c>
      <c r="C44" s="22">
        <v>33227.0</v>
      </c>
      <c r="D44" s="8"/>
      <c r="E44" s="22">
        <v>284493.0</v>
      </c>
      <c r="F44" s="8"/>
      <c r="G44" s="8"/>
      <c r="H44" s="67">
        <v>33203.0</v>
      </c>
      <c r="I44" s="22">
        <v>284493.0</v>
      </c>
      <c r="J44" s="8"/>
      <c r="K44" s="8"/>
      <c r="L44" s="8"/>
      <c r="M44" s="8"/>
      <c r="N44" s="8"/>
      <c r="O44" s="8"/>
      <c r="P44" s="8">
        <f t="shared" si="7"/>
        <v>33203</v>
      </c>
      <c r="Q44" s="8"/>
      <c r="Z44" s="5">
        <v>42.0</v>
      </c>
      <c r="AA44" s="14">
        <v>2606788.0</v>
      </c>
    </row>
    <row r="45">
      <c r="A45" s="68" t="s">
        <v>71</v>
      </c>
      <c r="B45" s="22">
        <f t="shared" si="6"/>
        <v>51168</v>
      </c>
      <c r="C45" s="22">
        <v>51168.0</v>
      </c>
      <c r="D45" s="8"/>
      <c r="E45" s="74">
        <v>51168.0</v>
      </c>
      <c r="F45" s="8"/>
      <c r="G45" s="8"/>
      <c r="H45" s="67">
        <v>50028.0</v>
      </c>
      <c r="I45" s="22">
        <v>48705.0</v>
      </c>
      <c r="J45" s="8"/>
      <c r="K45" s="8"/>
      <c r="L45" s="8"/>
      <c r="M45" s="8"/>
      <c r="N45" s="8"/>
      <c r="O45" s="8"/>
      <c r="P45" s="8">
        <f t="shared" si="7"/>
        <v>48705</v>
      </c>
      <c r="Q45" s="8"/>
      <c r="Z45" s="5">
        <v>43.0</v>
      </c>
      <c r="AA45" s="14">
        <v>2605493.0</v>
      </c>
    </row>
    <row r="46">
      <c r="A46" s="68" t="s">
        <v>72</v>
      </c>
      <c r="B46" s="22">
        <f t="shared" si="6"/>
        <v>146000</v>
      </c>
      <c r="C46" s="22">
        <v>146000.0</v>
      </c>
      <c r="D46" s="8"/>
      <c r="E46" s="74">
        <v>146000.0</v>
      </c>
      <c r="F46" s="8"/>
      <c r="G46" s="8"/>
      <c r="H46" s="67">
        <v>141495.0</v>
      </c>
      <c r="I46" s="22">
        <v>136656.0</v>
      </c>
      <c r="J46" s="8"/>
      <c r="K46" s="8"/>
      <c r="L46" s="8"/>
      <c r="M46" s="8"/>
      <c r="N46" s="8"/>
      <c r="O46" s="8"/>
      <c r="P46" s="8">
        <f t="shared" si="7"/>
        <v>136656</v>
      </c>
      <c r="Q46" s="8"/>
      <c r="Z46" s="5">
        <v>44.0</v>
      </c>
      <c r="AA46" s="14">
        <v>2602771.0</v>
      </c>
    </row>
    <row r="47">
      <c r="A47" s="68" t="s">
        <v>73</v>
      </c>
      <c r="B47" s="22">
        <f t="shared" si="6"/>
        <v>43262</v>
      </c>
      <c r="C47" s="22">
        <v>43262.0</v>
      </c>
      <c r="D47" s="8"/>
      <c r="E47" s="74">
        <v>43262.0</v>
      </c>
      <c r="F47" s="8"/>
      <c r="G47" s="8"/>
      <c r="H47" s="67">
        <v>42875.0</v>
      </c>
      <c r="I47" s="22">
        <v>41561.0</v>
      </c>
      <c r="J47" s="8"/>
      <c r="K47" s="8"/>
      <c r="L47" s="8"/>
      <c r="M47" s="8"/>
      <c r="N47" s="8"/>
      <c r="O47" s="8"/>
      <c r="P47" s="8">
        <f t="shared" si="7"/>
        <v>41561</v>
      </c>
      <c r="Q47" s="8"/>
      <c r="Z47" s="5">
        <v>45.0</v>
      </c>
      <c r="AA47" s="14">
        <v>2599781.0</v>
      </c>
    </row>
    <row r="48">
      <c r="A48" s="68" t="s">
        <v>74</v>
      </c>
      <c r="B48" s="22">
        <f t="shared" si="6"/>
        <v>89207</v>
      </c>
      <c r="C48" s="22">
        <v>89207.0</v>
      </c>
      <c r="D48" s="8"/>
      <c r="E48" s="74">
        <v>89207.0</v>
      </c>
      <c r="F48" s="8"/>
      <c r="G48" s="8"/>
      <c r="H48" s="67">
        <v>87574.0</v>
      </c>
      <c r="I48" s="22">
        <v>86267.0</v>
      </c>
      <c r="J48" s="8"/>
      <c r="K48" s="8"/>
      <c r="L48" s="8"/>
      <c r="M48" s="8"/>
      <c r="N48" s="8"/>
      <c r="O48" s="8"/>
      <c r="P48" s="8">
        <f t="shared" si="7"/>
        <v>86267</v>
      </c>
      <c r="Q48" s="8"/>
      <c r="Z48" s="5">
        <v>46.0</v>
      </c>
      <c r="AA48" s="14">
        <v>2594772.0</v>
      </c>
    </row>
    <row r="49">
      <c r="A49" s="68" t="s">
        <v>75</v>
      </c>
      <c r="B49" s="22">
        <f t="shared" si="6"/>
        <v>23577</v>
      </c>
      <c r="C49" s="22">
        <v>23577.0</v>
      </c>
      <c r="D49" s="8"/>
      <c r="E49" s="74">
        <v>23577.0</v>
      </c>
      <c r="F49" s="8"/>
      <c r="G49" s="8"/>
      <c r="H49" s="67">
        <v>23485.0</v>
      </c>
      <c r="I49" s="22">
        <v>22996.0</v>
      </c>
      <c r="J49" s="8"/>
      <c r="K49" s="8"/>
      <c r="L49" s="8"/>
      <c r="M49" s="8"/>
      <c r="N49" s="8"/>
      <c r="O49" s="8"/>
      <c r="P49" s="8">
        <f t="shared" si="7"/>
        <v>22996</v>
      </c>
      <c r="Q49" s="8"/>
      <c r="Z49" s="5">
        <v>47.0</v>
      </c>
      <c r="AA49" s="14">
        <v>2590812.0</v>
      </c>
    </row>
    <row r="50">
      <c r="A50" s="65"/>
      <c r="B50" s="22">
        <f t="shared" si="6"/>
        <v>0</v>
      </c>
      <c r="C50" s="75"/>
      <c r="D50" s="8"/>
      <c r="E50" s="8"/>
      <c r="F50" s="8"/>
      <c r="G50" s="8"/>
      <c r="H50" s="76"/>
      <c r="I50" s="8"/>
      <c r="J50" s="8"/>
      <c r="K50" s="8"/>
      <c r="L50" s="8"/>
      <c r="M50" s="8"/>
      <c r="N50" s="8"/>
      <c r="O50" s="8"/>
      <c r="P50" s="8">
        <f t="shared" si="7"/>
        <v>0</v>
      </c>
      <c r="Q50" s="8"/>
      <c r="Z50" s="5">
        <v>48.0</v>
      </c>
      <c r="AA50" s="14">
        <v>2588996.0</v>
      </c>
    </row>
    <row r="51">
      <c r="A51" s="65"/>
      <c r="B51" s="22">
        <f t="shared" si="6"/>
        <v>0</v>
      </c>
      <c r="C51" s="75"/>
      <c r="D51" s="8"/>
      <c r="E51" s="8"/>
      <c r="F51" s="8"/>
      <c r="G51" s="8"/>
      <c r="H51" s="76"/>
      <c r="I51" s="8"/>
      <c r="J51" s="8"/>
      <c r="K51" s="8"/>
      <c r="L51" s="8"/>
      <c r="M51" s="8"/>
      <c r="N51" s="8"/>
      <c r="O51" s="8"/>
      <c r="P51" s="8">
        <f t="shared" si="7"/>
        <v>0</v>
      </c>
      <c r="Q51" s="8"/>
      <c r="Z51" s="5">
        <v>49.0</v>
      </c>
      <c r="AA51" s="14">
        <v>2588795.0</v>
      </c>
    </row>
    <row r="52">
      <c r="A52" s="65"/>
      <c r="B52" s="22">
        <f t="shared" si="6"/>
        <v>0</v>
      </c>
      <c r="C52" s="75"/>
      <c r="D52" s="8"/>
      <c r="E52" s="8"/>
      <c r="F52" s="8"/>
      <c r="G52" s="8"/>
      <c r="H52" s="76"/>
      <c r="I52" s="8"/>
      <c r="J52" s="8"/>
      <c r="K52" s="8"/>
      <c r="L52" s="8"/>
      <c r="M52" s="8"/>
      <c r="N52" s="8"/>
      <c r="O52" s="8"/>
      <c r="P52" s="8">
        <f t="shared" si="7"/>
        <v>0</v>
      </c>
      <c r="Q52" s="8"/>
      <c r="Z52" s="5">
        <v>50.0</v>
      </c>
      <c r="AA52" s="14">
        <v>2586837.0</v>
      </c>
    </row>
    <row r="53">
      <c r="A53" s="65"/>
      <c r="B53" s="22">
        <f t="shared" si="6"/>
        <v>0</v>
      </c>
      <c r="C53" s="75"/>
      <c r="D53" s="8"/>
      <c r="E53" s="8"/>
      <c r="F53" s="8"/>
      <c r="G53" s="8"/>
      <c r="H53" s="76"/>
      <c r="I53" s="8"/>
      <c r="J53" s="8"/>
      <c r="K53" s="8"/>
      <c r="L53" s="8"/>
      <c r="M53" s="8"/>
      <c r="N53" s="8"/>
      <c r="O53" s="8"/>
      <c r="P53" s="8">
        <f t="shared" si="7"/>
        <v>0</v>
      </c>
      <c r="Q53" s="8"/>
      <c r="Z53" s="5">
        <v>51.0</v>
      </c>
      <c r="AA53" s="14">
        <v>2581722.0</v>
      </c>
    </row>
    <row r="54">
      <c r="A54" s="65"/>
      <c r="B54" s="22">
        <f t="shared" si="6"/>
        <v>0</v>
      </c>
      <c r="C54" s="75"/>
      <c r="D54" s="8"/>
      <c r="E54" s="8"/>
      <c r="F54" s="8"/>
      <c r="G54" s="8"/>
      <c r="H54" s="76"/>
      <c r="I54" s="8"/>
      <c r="J54" s="8"/>
      <c r="K54" s="8"/>
      <c r="L54" s="8"/>
      <c r="M54" s="8"/>
      <c r="N54" s="8"/>
      <c r="O54" s="8"/>
      <c r="P54" s="8">
        <f t="shared" si="7"/>
        <v>0</v>
      </c>
      <c r="Q54" s="8"/>
      <c r="Z54" s="5">
        <v>52.0</v>
      </c>
      <c r="AA54" s="14">
        <v>2579532.0</v>
      </c>
    </row>
    <row r="55">
      <c r="A55" s="65"/>
      <c r="B55" s="22">
        <f t="shared" si="6"/>
        <v>0</v>
      </c>
      <c r="C55" s="75"/>
      <c r="D55" s="8"/>
      <c r="E55" s="8"/>
      <c r="F55" s="8"/>
      <c r="G55" s="8"/>
      <c r="H55" s="76"/>
      <c r="I55" s="8"/>
      <c r="J55" s="8"/>
      <c r="K55" s="8"/>
      <c r="L55" s="8"/>
      <c r="M55" s="8"/>
      <c r="N55" s="8"/>
      <c r="O55" s="8"/>
      <c r="P55" s="8">
        <f t="shared" si="7"/>
        <v>0</v>
      </c>
      <c r="Q55" s="8"/>
      <c r="Z55" s="5">
        <v>53.0</v>
      </c>
      <c r="AA55" s="14">
        <v>2578848.0</v>
      </c>
    </row>
    <row r="56">
      <c r="A56" s="65"/>
      <c r="B56" s="22">
        <f t="shared" si="6"/>
        <v>0</v>
      </c>
      <c r="C56" s="75"/>
      <c r="D56" s="8"/>
      <c r="E56" s="8"/>
      <c r="F56" s="8"/>
      <c r="G56" s="8"/>
      <c r="H56" s="76"/>
      <c r="I56" s="8"/>
      <c r="J56" s="8"/>
      <c r="K56" s="8"/>
      <c r="L56" s="8"/>
      <c r="M56" s="8"/>
      <c r="N56" s="8"/>
      <c r="O56" s="8"/>
      <c r="P56" s="8">
        <f t="shared" si="7"/>
        <v>0</v>
      </c>
      <c r="Q56" s="8"/>
      <c r="Z56" s="5">
        <v>54.0</v>
      </c>
      <c r="AA56" s="14">
        <v>2578050.0</v>
      </c>
    </row>
    <row r="57">
      <c r="A57" s="65"/>
      <c r="B57" s="22">
        <f t="shared" si="6"/>
        <v>0</v>
      </c>
      <c r="C57" s="75"/>
      <c r="D57" s="8"/>
      <c r="E57" s="8"/>
      <c r="F57" s="8"/>
      <c r="G57" s="8"/>
      <c r="H57" s="76"/>
      <c r="I57" s="8"/>
      <c r="J57" s="8"/>
      <c r="K57" s="8"/>
      <c r="L57" s="8"/>
      <c r="M57" s="8"/>
      <c r="N57" s="8"/>
      <c r="O57" s="8"/>
      <c r="P57" s="8">
        <f t="shared" si="7"/>
        <v>0</v>
      </c>
      <c r="Q57" s="8"/>
      <c r="Z57" s="5">
        <v>55.0</v>
      </c>
      <c r="AA57" s="14">
        <v>2575299.0</v>
      </c>
    </row>
    <row r="58">
      <c r="A58" s="65"/>
      <c r="B58" s="22">
        <f t="shared" si="6"/>
        <v>0</v>
      </c>
      <c r="C58" s="75"/>
      <c r="D58" s="8"/>
      <c r="E58" s="8"/>
      <c r="F58" s="8"/>
      <c r="G58" s="8"/>
      <c r="H58" s="76"/>
      <c r="I58" s="8"/>
      <c r="J58" s="8"/>
      <c r="K58" s="8"/>
      <c r="L58" s="8"/>
      <c r="M58" s="8"/>
      <c r="N58" s="8"/>
      <c r="O58" s="8"/>
      <c r="P58" s="8">
        <f t="shared" si="7"/>
        <v>0</v>
      </c>
      <c r="Q58" s="8"/>
      <c r="Z58" s="5">
        <v>56.0</v>
      </c>
      <c r="AA58" s="14">
        <v>2573611.0</v>
      </c>
    </row>
    <row r="59">
      <c r="A59" s="65"/>
      <c r="B59" s="22">
        <f t="shared" si="6"/>
        <v>0</v>
      </c>
      <c r="C59" s="75"/>
      <c r="D59" s="8"/>
      <c r="E59" s="8"/>
      <c r="F59" s="8"/>
      <c r="G59" s="8"/>
      <c r="H59" s="76"/>
      <c r="I59" s="8"/>
      <c r="J59" s="8"/>
      <c r="K59" s="8"/>
      <c r="L59" s="8"/>
      <c r="M59" s="8"/>
      <c r="N59" s="8"/>
      <c r="O59" s="8"/>
      <c r="P59" s="8">
        <f t="shared" si="7"/>
        <v>0</v>
      </c>
      <c r="Q59" s="8"/>
      <c r="Z59" s="5">
        <v>57.0</v>
      </c>
      <c r="AA59" s="14">
        <v>2572333.0</v>
      </c>
    </row>
    <row r="60">
      <c r="A60" s="65"/>
      <c r="B60" s="22">
        <f t="shared" si="6"/>
        <v>0</v>
      </c>
      <c r="C60" s="75"/>
      <c r="D60" s="8"/>
      <c r="E60" s="8"/>
      <c r="F60" s="8"/>
      <c r="G60" s="8"/>
      <c r="H60" s="76"/>
      <c r="I60" s="8"/>
      <c r="J60" s="8"/>
      <c r="K60" s="8"/>
      <c r="L60" s="8"/>
      <c r="M60" s="8"/>
      <c r="N60" s="8"/>
      <c r="O60" s="8"/>
      <c r="P60" s="8">
        <f t="shared" si="7"/>
        <v>0</v>
      </c>
      <c r="Q60" s="8"/>
      <c r="Z60" s="5">
        <v>58.0</v>
      </c>
      <c r="AA60" s="14">
        <v>2571530.0</v>
      </c>
    </row>
    <row r="61">
      <c r="A61" s="65"/>
      <c r="B61" s="22">
        <f t="shared" si="6"/>
        <v>0</v>
      </c>
      <c r="C61" s="75"/>
      <c r="D61" s="8"/>
      <c r="E61" s="8"/>
      <c r="F61" s="8"/>
      <c r="G61" s="8"/>
      <c r="H61" s="76"/>
      <c r="I61" s="8"/>
      <c r="J61" s="8"/>
      <c r="K61" s="8"/>
      <c r="L61" s="8"/>
      <c r="M61" s="8"/>
      <c r="N61" s="8"/>
      <c r="O61" s="8"/>
      <c r="P61" s="8">
        <f t="shared" si="7"/>
        <v>0</v>
      </c>
      <c r="Q61" s="8"/>
      <c r="Z61" s="5">
        <v>59.0</v>
      </c>
      <c r="AA61" s="14">
        <v>2567244.0</v>
      </c>
    </row>
    <row r="62">
      <c r="A62" s="65"/>
      <c r="B62" s="22">
        <f t="shared" si="6"/>
        <v>0</v>
      </c>
      <c r="C62" s="75"/>
      <c r="D62" s="8"/>
      <c r="E62" s="8"/>
      <c r="F62" s="8"/>
      <c r="G62" s="8"/>
      <c r="H62" s="76"/>
      <c r="I62" s="8"/>
      <c r="J62" s="8"/>
      <c r="K62" s="8"/>
      <c r="L62" s="8"/>
      <c r="M62" s="8"/>
      <c r="N62" s="8"/>
      <c r="O62" s="8"/>
      <c r="P62" s="8">
        <f t="shared" si="7"/>
        <v>0</v>
      </c>
      <c r="Q62" s="8"/>
      <c r="Z62" s="5">
        <v>60.0</v>
      </c>
      <c r="AA62" s="14">
        <v>2567079.0</v>
      </c>
    </row>
    <row r="63">
      <c r="A63" s="65"/>
      <c r="B63" s="22">
        <f t="shared" si="6"/>
        <v>0</v>
      </c>
      <c r="C63" s="75"/>
      <c r="D63" s="8"/>
      <c r="E63" s="8"/>
      <c r="F63" s="8"/>
      <c r="G63" s="8"/>
      <c r="H63" s="76"/>
      <c r="I63" s="8"/>
      <c r="J63" s="8"/>
      <c r="K63" s="8"/>
      <c r="L63" s="8"/>
      <c r="M63" s="8"/>
      <c r="N63" s="8"/>
      <c r="O63" s="8"/>
      <c r="P63" s="8">
        <f t="shared" si="7"/>
        <v>0</v>
      </c>
      <c r="Q63" s="8"/>
      <c r="Z63" s="5">
        <v>61.0</v>
      </c>
      <c r="AA63" s="14">
        <v>2566966.0</v>
      </c>
    </row>
    <row r="64">
      <c r="A64" s="65"/>
      <c r="B64" s="22">
        <f t="shared" si="6"/>
        <v>0</v>
      </c>
      <c r="C64" s="75"/>
      <c r="D64" s="8"/>
      <c r="E64" s="8"/>
      <c r="F64" s="8"/>
      <c r="G64" s="8"/>
      <c r="H64" s="76"/>
      <c r="I64" s="8"/>
      <c r="J64" s="8"/>
      <c r="K64" s="8"/>
      <c r="L64" s="8"/>
      <c r="M64" s="8"/>
      <c r="N64" s="8"/>
      <c r="O64" s="8"/>
      <c r="P64" s="8">
        <f t="shared" si="7"/>
        <v>0</v>
      </c>
      <c r="Q64" s="8"/>
      <c r="Z64" s="5">
        <v>62.0</v>
      </c>
      <c r="AA64" s="14">
        <v>2566363.0</v>
      </c>
    </row>
    <row r="65">
      <c r="A65" s="65"/>
      <c r="B65" s="22">
        <f t="shared" si="6"/>
        <v>0</v>
      </c>
      <c r="C65" s="75"/>
      <c r="D65" s="8"/>
      <c r="E65" s="8"/>
      <c r="F65" s="8"/>
      <c r="G65" s="8"/>
      <c r="H65" s="76"/>
      <c r="I65" s="8"/>
      <c r="J65" s="8"/>
      <c r="K65" s="8"/>
      <c r="L65" s="8"/>
      <c r="M65" s="8"/>
      <c r="N65" s="8"/>
      <c r="O65" s="8"/>
      <c r="P65" s="8">
        <f t="shared" si="7"/>
        <v>0</v>
      </c>
      <c r="Q65" s="8"/>
      <c r="Z65" s="5">
        <v>63.0</v>
      </c>
      <c r="AA65" s="14">
        <v>2565775.0</v>
      </c>
    </row>
    <row r="66">
      <c r="A66" s="65"/>
      <c r="B66" s="22">
        <f t="shared" si="6"/>
        <v>0</v>
      </c>
      <c r="C66" s="75"/>
      <c r="D66" s="8"/>
      <c r="E66" s="8"/>
      <c r="F66" s="8"/>
      <c r="G66" s="8"/>
      <c r="H66" s="76"/>
      <c r="I66" s="8"/>
      <c r="J66" s="8"/>
      <c r="K66" s="8"/>
      <c r="L66" s="8"/>
      <c r="M66" s="8"/>
      <c r="N66" s="8"/>
      <c r="O66" s="8"/>
      <c r="P66" s="8">
        <f t="shared" si="7"/>
        <v>0</v>
      </c>
      <c r="Q66" s="8"/>
      <c r="Z66" s="5">
        <v>64.0</v>
      </c>
      <c r="AA66" s="14">
        <v>2564997.0</v>
      </c>
    </row>
    <row r="67">
      <c r="A67" s="65"/>
      <c r="B67" s="31">
        <f t="shared" si="6"/>
        <v>0</v>
      </c>
      <c r="C67" s="57"/>
      <c r="D67" s="30"/>
      <c r="E67" s="30"/>
      <c r="F67" s="30"/>
      <c r="G67" s="30"/>
      <c r="H67" s="77"/>
      <c r="I67" s="30"/>
      <c r="J67" s="30"/>
      <c r="K67" s="30"/>
      <c r="L67" s="30"/>
      <c r="M67" s="30"/>
      <c r="N67" s="30"/>
      <c r="O67" s="30"/>
      <c r="P67" s="30">
        <f t="shared" si="7"/>
        <v>0</v>
      </c>
      <c r="Q67" s="30"/>
      <c r="Z67" s="5">
        <v>65.0</v>
      </c>
      <c r="AA67" s="14">
        <v>2564208.0</v>
      </c>
    </row>
    <row r="68">
      <c r="Z68" s="5">
        <v>66.0</v>
      </c>
      <c r="AA68" s="14">
        <v>2562761.0</v>
      </c>
    </row>
    <row r="69">
      <c r="Z69" s="5">
        <v>67.0</v>
      </c>
      <c r="AA69" s="14">
        <v>2562565.0</v>
      </c>
    </row>
    <row r="70">
      <c r="Z70" s="5">
        <v>68.0</v>
      </c>
      <c r="AA70" s="14">
        <v>2560859.0</v>
      </c>
    </row>
    <row r="71">
      <c r="S71" s="13">
        <v>46059.0</v>
      </c>
      <c r="Z71" s="5">
        <v>69.0</v>
      </c>
      <c r="AA71" s="14">
        <v>2559230.0</v>
      </c>
    </row>
    <row r="72">
      <c r="S72" s="22">
        <v>185588.0</v>
      </c>
      <c r="Z72" s="5">
        <v>70.0</v>
      </c>
      <c r="AA72" s="14">
        <v>2558153.0</v>
      </c>
    </row>
    <row r="73">
      <c r="S73" s="22">
        <v>223919.0</v>
      </c>
      <c r="Z73" s="5">
        <v>71.0</v>
      </c>
      <c r="AA73" s="14">
        <v>2555796.0</v>
      </c>
    </row>
    <row r="74">
      <c r="S74" s="22">
        <v>1250902.0</v>
      </c>
      <c r="Z74" s="5">
        <v>72.0</v>
      </c>
      <c r="AA74" s="14">
        <v>2555259.0</v>
      </c>
    </row>
    <row r="75">
      <c r="S75" s="22">
        <v>1884259.0</v>
      </c>
      <c r="Z75" s="5">
        <v>73.0</v>
      </c>
      <c r="AA75" s="14">
        <v>2554470.0</v>
      </c>
    </row>
    <row r="76">
      <c r="S76" s="22">
        <v>1262001.0</v>
      </c>
      <c r="Z76" s="5">
        <v>74.0</v>
      </c>
      <c r="AA76" s="14">
        <v>2553983.0</v>
      </c>
    </row>
    <row r="77">
      <c r="S77" s="22">
        <v>1257721.0</v>
      </c>
      <c r="Z77" s="5">
        <v>75.0</v>
      </c>
      <c r="AA77" s="14">
        <v>2553560.0</v>
      </c>
    </row>
    <row r="78">
      <c r="S78" s="70">
        <v>1972745.0</v>
      </c>
      <c r="Z78" s="5">
        <v>76.0</v>
      </c>
      <c r="AA78" s="14">
        <v>2552840.0</v>
      </c>
    </row>
    <row r="79">
      <c r="S79" s="70">
        <v>1952602.0</v>
      </c>
      <c r="Z79" s="5">
        <v>77.0</v>
      </c>
      <c r="AA79" s="14">
        <v>2552775.0</v>
      </c>
    </row>
    <row r="80">
      <c r="S80" s="22">
        <v>2307580.0</v>
      </c>
      <c r="Z80" s="5">
        <v>78.0</v>
      </c>
      <c r="AA80" s="14">
        <v>2551210.0</v>
      </c>
    </row>
    <row r="81">
      <c r="S81" s="22">
        <v>1879209.0</v>
      </c>
      <c r="Z81" s="5">
        <v>79.0</v>
      </c>
      <c r="AA81" s="14">
        <v>2549095.0</v>
      </c>
    </row>
    <row r="82">
      <c r="S82" s="22">
        <v>271267.0</v>
      </c>
      <c r="Z82" s="5">
        <v>80.0</v>
      </c>
      <c r="AA82" s="14">
        <v>2547523.0</v>
      </c>
    </row>
    <row r="83">
      <c r="S83" s="22">
        <v>411743.0</v>
      </c>
      <c r="Z83" s="5">
        <v>81.0</v>
      </c>
      <c r="AA83" s="14">
        <v>2547237.0</v>
      </c>
    </row>
    <row r="84">
      <c r="S84" s="22">
        <v>121297.0</v>
      </c>
      <c r="Z84" s="5">
        <v>82.0</v>
      </c>
      <c r="AA84" s="14">
        <v>2546114.0</v>
      </c>
    </row>
    <row r="85">
      <c r="S85" s="22">
        <v>1268022.0</v>
      </c>
      <c r="Z85" s="5">
        <v>83.0</v>
      </c>
      <c r="AA85" s="14">
        <v>2542475.0</v>
      </c>
    </row>
    <row r="86">
      <c r="S86" s="22">
        <v>951327.0</v>
      </c>
      <c r="Z86" s="5">
        <v>84.0</v>
      </c>
      <c r="AA86" s="14">
        <v>2542366.0</v>
      </c>
    </row>
    <row r="87">
      <c r="S87" s="22">
        <v>671392.0</v>
      </c>
      <c r="Z87" s="5">
        <v>85.0</v>
      </c>
      <c r="AA87" s="14">
        <v>2540938.0</v>
      </c>
    </row>
    <row r="88">
      <c r="S88" s="22">
        <v>832174.0</v>
      </c>
      <c r="Z88" s="5">
        <v>86.0</v>
      </c>
      <c r="AA88" s="14">
        <v>2539898.0</v>
      </c>
    </row>
    <row r="89">
      <c r="S89" s="22">
        <v>857014.0</v>
      </c>
      <c r="Z89" s="5">
        <v>87.0</v>
      </c>
      <c r="AA89" s="14">
        <v>2539047.0</v>
      </c>
    </row>
    <row r="90">
      <c r="S90" s="22">
        <v>524928.0</v>
      </c>
      <c r="Z90" s="5">
        <v>88.0</v>
      </c>
      <c r="AA90" s="14">
        <v>2535355.0</v>
      </c>
    </row>
    <row r="91">
      <c r="S91" s="22">
        <v>728718.0</v>
      </c>
      <c r="Z91" s="5">
        <v>89.0</v>
      </c>
      <c r="AA91" s="14">
        <v>2535163.0</v>
      </c>
    </row>
    <row r="92">
      <c r="S92" s="22">
        <v>720314.0</v>
      </c>
      <c r="Z92" s="5">
        <v>90.0</v>
      </c>
      <c r="AA92" s="14">
        <v>2534443.0</v>
      </c>
    </row>
    <row r="93">
      <c r="S93" s="22">
        <v>69683.0</v>
      </c>
      <c r="Z93" s="5">
        <v>91.0</v>
      </c>
      <c r="AA93" s="14">
        <v>2533925.0</v>
      </c>
    </row>
    <row r="94">
      <c r="S94" s="22">
        <v>284493.0</v>
      </c>
      <c r="Z94" s="5">
        <v>92.0</v>
      </c>
      <c r="AA94" s="14">
        <v>2533422.0</v>
      </c>
    </row>
    <row r="95">
      <c r="S95" s="22">
        <v>18347.0</v>
      </c>
      <c r="Z95" s="5">
        <v>93.0</v>
      </c>
      <c r="AA95" s="14">
        <v>2532589.0</v>
      </c>
    </row>
    <row r="96">
      <c r="S96" s="22">
        <v>80680.0</v>
      </c>
      <c r="Z96" s="5">
        <v>94.0</v>
      </c>
      <c r="AA96" s="14">
        <v>2532570.0</v>
      </c>
    </row>
    <row r="97">
      <c r="S97" s="22">
        <v>16564.0</v>
      </c>
      <c r="Z97" s="5">
        <v>95.0</v>
      </c>
      <c r="AA97" s="14">
        <v>2532249.0</v>
      </c>
    </row>
    <row r="98">
      <c r="S98" s="22">
        <v>36479.0</v>
      </c>
      <c r="Z98" s="5">
        <v>96.0</v>
      </c>
      <c r="AA98" s="14">
        <v>2531482.0</v>
      </c>
    </row>
    <row r="99">
      <c r="S99" s="22">
        <v>3981.0</v>
      </c>
      <c r="Z99" s="5">
        <v>97.0</v>
      </c>
      <c r="AA99" s="14">
        <v>2531218.0</v>
      </c>
    </row>
    <row r="100">
      <c r="Z100" s="5">
        <v>98.0</v>
      </c>
      <c r="AA100" s="14">
        <v>2531059.0</v>
      </c>
    </row>
    <row r="101">
      <c r="Z101" s="5">
        <v>99.0</v>
      </c>
      <c r="AA101" s="14">
        <v>2530886.0</v>
      </c>
    </row>
    <row r="102">
      <c r="Z102" s="5">
        <v>100.0</v>
      </c>
      <c r="AA102" s="14">
        <v>2529177.0</v>
      </c>
    </row>
    <row r="103">
      <c r="Z103" s="5">
        <v>101.0</v>
      </c>
      <c r="AA103" s="14">
        <v>2526950.0</v>
      </c>
    </row>
    <row r="104">
      <c r="Z104" s="5">
        <v>102.0</v>
      </c>
      <c r="AA104" s="14">
        <v>2523144.0</v>
      </c>
    </row>
    <row r="105">
      <c r="Z105" s="5">
        <v>103.0</v>
      </c>
      <c r="AA105" s="14">
        <v>2522574.0</v>
      </c>
    </row>
    <row r="106">
      <c r="Z106" s="5">
        <v>104.0</v>
      </c>
      <c r="AA106" s="14">
        <v>2522306.0</v>
      </c>
    </row>
    <row r="107">
      <c r="Z107" s="5">
        <v>105.0</v>
      </c>
      <c r="AA107" s="14">
        <v>2518636.0</v>
      </c>
    </row>
    <row r="108">
      <c r="Z108" s="5">
        <v>106.0</v>
      </c>
      <c r="AA108" s="14">
        <v>2515269.0</v>
      </c>
    </row>
    <row r="109">
      <c r="Z109" s="5">
        <v>107.0</v>
      </c>
      <c r="AA109" s="14">
        <v>2513752.0</v>
      </c>
    </row>
    <row r="110">
      <c r="Z110" s="5">
        <v>108.0</v>
      </c>
      <c r="AA110" s="14">
        <v>2513473.0</v>
      </c>
    </row>
    <row r="111">
      <c r="Z111" s="5">
        <v>109.0</v>
      </c>
      <c r="AA111" s="14">
        <v>2511770.0</v>
      </c>
    </row>
    <row r="112">
      <c r="Z112" s="5">
        <v>110.0</v>
      </c>
      <c r="AA112" s="14">
        <v>2509585.0</v>
      </c>
    </row>
    <row r="113">
      <c r="Z113" s="5">
        <v>111.0</v>
      </c>
      <c r="AA113" s="14">
        <v>2505695.0</v>
      </c>
    </row>
    <row r="114">
      <c r="Z114" s="5">
        <v>112.0</v>
      </c>
      <c r="AA114" s="14">
        <v>2501760.0</v>
      </c>
    </row>
    <row r="115">
      <c r="Z115" s="5">
        <v>113.0</v>
      </c>
      <c r="AA115" s="14">
        <v>2501192.0</v>
      </c>
    </row>
    <row r="116">
      <c r="Z116" s="5">
        <v>114.0</v>
      </c>
      <c r="AA116" s="14">
        <v>2499203.0</v>
      </c>
    </row>
    <row r="117">
      <c r="Z117" s="5">
        <v>115.0</v>
      </c>
      <c r="AA117" s="14">
        <v>2499166.0</v>
      </c>
    </row>
    <row r="118">
      <c r="Z118" s="5">
        <v>116.0</v>
      </c>
      <c r="AA118" s="14">
        <v>2498169.0</v>
      </c>
    </row>
    <row r="119">
      <c r="Z119" s="5">
        <v>117.0</v>
      </c>
      <c r="AA119" s="14">
        <v>2497590.0</v>
      </c>
    </row>
    <row r="120">
      <c r="Z120" s="5">
        <v>118.0</v>
      </c>
      <c r="AA120" s="14">
        <v>2493044.0</v>
      </c>
    </row>
    <row r="121">
      <c r="Z121" s="5">
        <v>119.0</v>
      </c>
      <c r="AA121" s="14">
        <v>2491745.0</v>
      </c>
    </row>
    <row r="122">
      <c r="Z122" s="5">
        <v>120.0</v>
      </c>
      <c r="AA122" s="14">
        <v>2491683.0</v>
      </c>
    </row>
    <row r="123">
      <c r="Z123" s="5">
        <v>121.0</v>
      </c>
      <c r="AA123" s="14">
        <v>2490890.0</v>
      </c>
    </row>
    <row r="124">
      <c r="Z124" s="5">
        <v>122.0</v>
      </c>
      <c r="AA124" s="14">
        <v>2490442.0</v>
      </c>
    </row>
    <row r="125">
      <c r="Z125" s="5">
        <v>123.0</v>
      </c>
      <c r="AA125" s="14">
        <v>2488352.0</v>
      </c>
    </row>
    <row r="126">
      <c r="Z126" s="5">
        <v>124.0</v>
      </c>
      <c r="AA126" s="14">
        <v>2484348.0</v>
      </c>
    </row>
    <row r="127">
      <c r="Z127" s="5">
        <v>125.0</v>
      </c>
      <c r="AA127" s="14">
        <v>2481418.0</v>
      </c>
    </row>
    <row r="128">
      <c r="Z128" s="5">
        <v>126.0</v>
      </c>
      <c r="AA128" s="5">
        <v>2477128.0</v>
      </c>
    </row>
    <row r="129">
      <c r="Z129" s="5">
        <v>127.0</v>
      </c>
      <c r="AA129" s="5">
        <v>2475391.0</v>
      </c>
    </row>
    <row r="130">
      <c r="Z130" s="5">
        <v>128.0</v>
      </c>
      <c r="AA130" s="5">
        <v>2471618.0</v>
      </c>
    </row>
    <row r="131">
      <c r="Z131" s="5">
        <v>129.0</v>
      </c>
      <c r="AA131" s="5">
        <v>2467396.0</v>
      </c>
    </row>
    <row r="132">
      <c r="Z132" s="5">
        <v>130.0</v>
      </c>
      <c r="AA132" s="5">
        <v>2463928.0</v>
      </c>
    </row>
    <row r="133">
      <c r="Z133" s="5">
        <v>131.0</v>
      </c>
      <c r="AA133" s="5">
        <v>2463855.0</v>
      </c>
    </row>
    <row r="134">
      <c r="Z134" s="5">
        <v>132.0</v>
      </c>
      <c r="AA134" s="5">
        <v>2462752.0</v>
      </c>
    </row>
    <row r="135">
      <c r="Z135" s="5">
        <v>133.0</v>
      </c>
      <c r="AA135" s="5">
        <v>2462364.0</v>
      </c>
    </row>
    <row r="136">
      <c r="Z136" s="5">
        <v>134.0</v>
      </c>
      <c r="AA136" s="5">
        <v>2459877.0</v>
      </c>
    </row>
    <row r="137">
      <c r="Z137" s="5">
        <v>135.0</v>
      </c>
      <c r="AA137" s="5">
        <v>2457890.0</v>
      </c>
    </row>
    <row r="138">
      <c r="Z138" s="5">
        <v>136.0</v>
      </c>
      <c r="AA138" s="5">
        <v>2457504.0</v>
      </c>
    </row>
    <row r="139">
      <c r="Z139" s="5">
        <v>137.0</v>
      </c>
      <c r="AA139" s="5">
        <v>2456622.0</v>
      </c>
    </row>
    <row r="140">
      <c r="Z140" s="5">
        <v>138.0</v>
      </c>
      <c r="AA140" s="5">
        <v>2455801.0</v>
      </c>
    </row>
    <row r="141">
      <c r="Z141" s="5">
        <v>139.0</v>
      </c>
      <c r="AA141" s="5">
        <v>2455462.0</v>
      </c>
    </row>
    <row r="142">
      <c r="Z142" s="5">
        <v>140.0</v>
      </c>
      <c r="AA142" s="5">
        <v>2454273.0</v>
      </c>
    </row>
    <row r="143">
      <c r="Z143" s="5">
        <v>141.0</v>
      </c>
      <c r="AA143" s="5">
        <v>2451470.0</v>
      </c>
    </row>
    <row r="144">
      <c r="Z144" s="5">
        <v>142.0</v>
      </c>
      <c r="AA144" s="5">
        <v>2450983.0</v>
      </c>
    </row>
    <row r="145">
      <c r="Z145" s="5">
        <v>143.0</v>
      </c>
      <c r="AA145" s="5">
        <v>2449213.0</v>
      </c>
    </row>
    <row r="146">
      <c r="Z146" s="5">
        <v>144.0</v>
      </c>
      <c r="AA146" s="5">
        <v>2449142.0</v>
      </c>
    </row>
    <row r="147">
      <c r="Z147" s="5">
        <v>145.0</v>
      </c>
      <c r="AA147" s="5">
        <v>2447686.0</v>
      </c>
    </row>
    <row r="148">
      <c r="Z148" s="5">
        <v>146.0</v>
      </c>
      <c r="AA148" s="5">
        <v>2447587.0</v>
      </c>
    </row>
    <row r="149">
      <c r="Z149" s="5">
        <v>147.0</v>
      </c>
      <c r="AA149" s="5">
        <v>2447500.0</v>
      </c>
    </row>
    <row r="150">
      <c r="Z150" s="5">
        <v>148.0</v>
      </c>
      <c r="AA150" s="5">
        <v>2445723.0</v>
      </c>
    </row>
    <row r="151">
      <c r="Z151" s="5">
        <v>149.0</v>
      </c>
      <c r="AA151" s="5">
        <v>2444759.0</v>
      </c>
    </row>
    <row r="152">
      <c r="Z152" s="5">
        <v>150.0</v>
      </c>
      <c r="AA152" s="5">
        <v>2440460.0</v>
      </c>
    </row>
    <row r="153">
      <c r="Z153" s="5">
        <v>151.0</v>
      </c>
      <c r="AA153" s="5">
        <v>2439106.0</v>
      </c>
    </row>
    <row r="154">
      <c r="Z154" s="5">
        <v>152.0</v>
      </c>
      <c r="AA154" s="5">
        <v>2436017.0</v>
      </c>
    </row>
    <row r="155">
      <c r="Z155" s="5">
        <v>153.0</v>
      </c>
      <c r="AA155" s="5">
        <v>2434271.0</v>
      </c>
    </row>
    <row r="156">
      <c r="Z156" s="5">
        <v>154.0</v>
      </c>
      <c r="AA156" s="5">
        <v>2434241.0</v>
      </c>
    </row>
    <row r="157">
      <c r="Z157" s="5">
        <v>155.0</v>
      </c>
      <c r="AA157" s="5">
        <v>2433442.0</v>
      </c>
    </row>
    <row r="158">
      <c r="Z158" s="5">
        <v>156.0</v>
      </c>
      <c r="AA158" s="5">
        <v>2428037.0</v>
      </c>
    </row>
    <row r="159">
      <c r="Z159" s="5">
        <v>157.0</v>
      </c>
      <c r="AA159" s="5">
        <v>2427547.0</v>
      </c>
    </row>
    <row r="160">
      <c r="Z160" s="5">
        <v>158.0</v>
      </c>
      <c r="AA160" s="5">
        <v>2424857.0</v>
      </c>
    </row>
    <row r="161">
      <c r="Z161" s="5">
        <v>159.0</v>
      </c>
      <c r="AA161" s="5">
        <v>2424299.0</v>
      </c>
    </row>
    <row r="162">
      <c r="Z162" s="5">
        <v>160.0</v>
      </c>
      <c r="AA162" s="5">
        <v>2423180.0</v>
      </c>
    </row>
    <row r="163">
      <c r="Z163" s="5">
        <v>161.0</v>
      </c>
      <c r="AA163" s="5">
        <v>2421914.0</v>
      </c>
    </row>
    <row r="164">
      <c r="Z164" s="5">
        <v>162.0</v>
      </c>
      <c r="AA164" s="5">
        <v>2421151.0</v>
      </c>
    </row>
    <row r="165">
      <c r="Z165" s="5">
        <v>163.0</v>
      </c>
      <c r="AA165" s="5">
        <v>2417823.0</v>
      </c>
    </row>
    <row r="166">
      <c r="Z166" s="5">
        <v>164.0</v>
      </c>
      <c r="AA166" s="5">
        <v>2416068.0</v>
      </c>
    </row>
    <row r="167">
      <c r="Z167" s="5">
        <v>165.0</v>
      </c>
      <c r="AA167" s="5">
        <v>2414601.0</v>
      </c>
    </row>
    <row r="168">
      <c r="Z168" s="5">
        <v>166.0</v>
      </c>
      <c r="AA168" s="5">
        <v>2414469.0</v>
      </c>
    </row>
    <row r="169">
      <c r="Z169" s="5">
        <v>167.0</v>
      </c>
      <c r="AA169" s="5">
        <v>2413610.0</v>
      </c>
    </row>
    <row r="170">
      <c r="Z170" s="5">
        <v>168.0</v>
      </c>
      <c r="AA170" s="5">
        <v>2412153.0</v>
      </c>
    </row>
    <row r="171">
      <c r="Z171" s="5">
        <v>169.0</v>
      </c>
      <c r="AA171" s="5">
        <v>2411575.0</v>
      </c>
    </row>
    <row r="172">
      <c r="Z172" s="5">
        <v>170.0</v>
      </c>
      <c r="AA172" s="5">
        <v>2411558.0</v>
      </c>
    </row>
    <row r="173">
      <c r="Z173" s="5">
        <v>171.0</v>
      </c>
      <c r="AA173" s="5">
        <v>2410614.0</v>
      </c>
    </row>
    <row r="174">
      <c r="Z174" s="5">
        <v>172.0</v>
      </c>
      <c r="AA174" s="5">
        <v>2410078.0</v>
      </c>
    </row>
    <row r="175">
      <c r="Z175" s="5">
        <v>173.0</v>
      </c>
      <c r="AA175" s="5">
        <v>2409412.0</v>
      </c>
    </row>
    <row r="176">
      <c r="Z176" s="5">
        <v>174.0</v>
      </c>
      <c r="AA176" s="5">
        <v>2408471.0</v>
      </c>
    </row>
    <row r="177">
      <c r="Z177" s="5">
        <v>175.0</v>
      </c>
      <c r="AA177" s="5">
        <v>2407787.0</v>
      </c>
    </row>
    <row r="178">
      <c r="Z178" s="5">
        <v>176.0</v>
      </c>
      <c r="AA178" s="5">
        <v>2407406.0</v>
      </c>
    </row>
    <row r="179">
      <c r="Z179" s="5">
        <v>177.0</v>
      </c>
      <c r="AA179" s="5">
        <v>2406321.0</v>
      </c>
    </row>
    <row r="180">
      <c r="Z180" s="5">
        <v>178.0</v>
      </c>
      <c r="AA180" s="5">
        <v>2405371.0</v>
      </c>
    </row>
    <row r="181">
      <c r="Z181" s="5">
        <v>179.0</v>
      </c>
      <c r="AA181" s="5">
        <v>2404222.0</v>
      </c>
    </row>
    <row r="182">
      <c r="Z182" s="5">
        <v>180.0</v>
      </c>
      <c r="AA182" s="5">
        <v>2403311.0</v>
      </c>
    </row>
    <row r="183">
      <c r="Z183" s="5">
        <v>181.0</v>
      </c>
      <c r="AA183" s="5">
        <v>2402587.0</v>
      </c>
    </row>
    <row r="184">
      <c r="Z184" s="5">
        <v>182.0</v>
      </c>
      <c r="AA184" s="5">
        <v>2401654.0</v>
      </c>
    </row>
    <row r="185">
      <c r="Z185" s="5">
        <v>183.0</v>
      </c>
      <c r="AA185" s="5">
        <v>2401179.0</v>
      </c>
    </row>
    <row r="186">
      <c r="Z186" s="5">
        <v>184.0</v>
      </c>
      <c r="AA186" s="5">
        <v>2400363.0</v>
      </c>
    </row>
    <row r="187">
      <c r="Z187" s="5">
        <v>185.0</v>
      </c>
      <c r="AA187" s="5">
        <v>2397939.0</v>
      </c>
    </row>
    <row r="188">
      <c r="Z188" s="5">
        <v>186.0</v>
      </c>
      <c r="AA188" s="5">
        <v>2396997.0</v>
      </c>
    </row>
    <row r="189">
      <c r="Z189" s="5">
        <v>187.0</v>
      </c>
      <c r="AA189" s="5">
        <v>2396296.0</v>
      </c>
    </row>
    <row r="190">
      <c r="Z190" s="5">
        <v>188.0</v>
      </c>
      <c r="AA190" s="5">
        <v>2395950.0</v>
      </c>
    </row>
    <row r="191">
      <c r="Z191" s="5">
        <v>189.0</v>
      </c>
      <c r="AA191" s="5">
        <v>2394904.0</v>
      </c>
    </row>
    <row r="192">
      <c r="Z192" s="5">
        <v>190.0</v>
      </c>
      <c r="AA192" s="5">
        <v>2394351.0</v>
      </c>
    </row>
    <row r="193">
      <c r="Z193" s="5">
        <v>191.0</v>
      </c>
      <c r="AA193" s="5">
        <v>2393529.0</v>
      </c>
    </row>
    <row r="194">
      <c r="Z194" s="5">
        <v>192.0</v>
      </c>
      <c r="AA194" s="5">
        <v>2391725.0</v>
      </c>
    </row>
    <row r="195">
      <c r="Z195" s="5">
        <v>193.0</v>
      </c>
      <c r="AA195" s="5">
        <v>2390578.0</v>
      </c>
    </row>
    <row r="196">
      <c r="Z196" s="5">
        <v>194.0</v>
      </c>
      <c r="AA196" s="5">
        <v>2389278.0</v>
      </c>
    </row>
    <row r="197">
      <c r="Z197" s="5">
        <v>195.0</v>
      </c>
      <c r="AA197" s="5">
        <v>2383696.0</v>
      </c>
    </row>
    <row r="198">
      <c r="Z198" s="5">
        <v>196.0</v>
      </c>
      <c r="AA198" s="5">
        <v>2382946.0</v>
      </c>
    </row>
    <row r="199">
      <c r="Z199" s="5">
        <v>197.0</v>
      </c>
      <c r="AA199" s="5">
        <v>2382932.0</v>
      </c>
    </row>
    <row r="200">
      <c r="Z200" s="5">
        <v>198.0</v>
      </c>
      <c r="AA200" s="5">
        <v>2382813.0</v>
      </c>
    </row>
    <row r="201">
      <c r="Z201" s="5">
        <v>199.0</v>
      </c>
      <c r="AA201" s="5">
        <v>2379780.0</v>
      </c>
    </row>
    <row r="202">
      <c r="Z202" s="5">
        <v>200.0</v>
      </c>
      <c r="AA202" s="5">
        <v>2377425.0</v>
      </c>
    </row>
    <row r="203">
      <c r="Z203" s="5">
        <v>201.0</v>
      </c>
      <c r="AA203" s="5">
        <v>2377425.0</v>
      </c>
    </row>
    <row r="204">
      <c r="Z204" s="5">
        <v>202.0</v>
      </c>
      <c r="AA204" s="5">
        <v>2376962.0</v>
      </c>
    </row>
    <row r="205">
      <c r="Z205" s="5">
        <v>203.0</v>
      </c>
      <c r="AA205" s="5">
        <v>2376701.0</v>
      </c>
    </row>
    <row r="206">
      <c r="Z206" s="5">
        <v>204.0</v>
      </c>
      <c r="AA206" s="5">
        <v>2376683.0</v>
      </c>
    </row>
    <row r="207">
      <c r="Z207" s="5">
        <v>205.0</v>
      </c>
      <c r="AA207" s="5">
        <v>2372748.0</v>
      </c>
    </row>
    <row r="208">
      <c r="Z208" s="5">
        <v>206.0</v>
      </c>
      <c r="AA208" s="5">
        <v>2370620.0</v>
      </c>
    </row>
    <row r="209">
      <c r="Z209" s="5">
        <v>207.0</v>
      </c>
      <c r="AA209" s="5">
        <v>2370179.0</v>
      </c>
    </row>
    <row r="210">
      <c r="Z210" s="5">
        <v>208.0</v>
      </c>
      <c r="AA210" s="5">
        <v>2369652.0</v>
      </c>
    </row>
    <row r="211">
      <c r="Z211" s="5">
        <v>209.0</v>
      </c>
      <c r="AA211" s="5">
        <v>2369562.0</v>
      </c>
    </row>
    <row r="212">
      <c r="Z212" s="5">
        <v>210.0</v>
      </c>
      <c r="AA212" s="5">
        <v>2368352.0</v>
      </c>
    </row>
    <row r="213">
      <c r="Z213" s="5">
        <v>211.0</v>
      </c>
      <c r="AA213" s="5">
        <v>2368197.0</v>
      </c>
    </row>
    <row r="214">
      <c r="Z214" s="5">
        <v>212.0</v>
      </c>
      <c r="AA214" s="5">
        <v>2367902.0</v>
      </c>
    </row>
    <row r="215">
      <c r="Z215" s="5">
        <v>213.0</v>
      </c>
      <c r="AA215" s="5">
        <v>2366842.0</v>
      </c>
    </row>
    <row r="216">
      <c r="Z216" s="5">
        <v>214.0</v>
      </c>
      <c r="AA216" s="5">
        <v>2366756.0</v>
      </c>
    </row>
    <row r="217">
      <c r="Z217" s="5">
        <v>215.0</v>
      </c>
      <c r="AA217" s="5">
        <v>2365572.0</v>
      </c>
    </row>
    <row r="218">
      <c r="Z218" s="5">
        <v>216.0</v>
      </c>
      <c r="AA218" s="5">
        <v>2365293.0</v>
      </c>
    </row>
    <row r="219">
      <c r="Z219" s="5">
        <v>217.0</v>
      </c>
      <c r="AA219" s="5">
        <v>2365264.0</v>
      </c>
    </row>
    <row r="220">
      <c r="Z220" s="5">
        <v>218.0</v>
      </c>
      <c r="AA220" s="5">
        <v>2365087.0</v>
      </c>
    </row>
    <row r="221">
      <c r="Z221" s="5">
        <v>219.0</v>
      </c>
      <c r="AA221" s="5">
        <v>2364038.0</v>
      </c>
    </row>
    <row r="222">
      <c r="Z222" s="5">
        <v>220.0</v>
      </c>
      <c r="AA222" s="5">
        <v>2363021.0</v>
      </c>
    </row>
    <row r="223">
      <c r="Z223" s="5">
        <v>221.0</v>
      </c>
      <c r="AA223" s="5">
        <v>2361620.0</v>
      </c>
    </row>
    <row r="224">
      <c r="Z224" s="5">
        <v>222.0</v>
      </c>
      <c r="AA224" s="5">
        <v>2361497.0</v>
      </c>
    </row>
    <row r="225">
      <c r="Z225" s="5">
        <v>223.0</v>
      </c>
      <c r="AA225" s="5">
        <v>2361401.0</v>
      </c>
    </row>
    <row r="226">
      <c r="Z226" s="5">
        <v>224.0</v>
      </c>
      <c r="AA226" s="5">
        <v>2360463.0</v>
      </c>
    </row>
    <row r="227">
      <c r="Z227" s="5">
        <v>225.0</v>
      </c>
      <c r="AA227" s="5">
        <v>2359399.0</v>
      </c>
    </row>
    <row r="228">
      <c r="Z228" s="5">
        <v>226.0</v>
      </c>
      <c r="AA228" s="5">
        <v>2358988.0</v>
      </c>
    </row>
    <row r="229">
      <c r="Z229" s="5">
        <v>227.0</v>
      </c>
      <c r="AA229" s="5">
        <v>2356944.0</v>
      </c>
    </row>
    <row r="230">
      <c r="Z230" s="5">
        <v>228.0</v>
      </c>
      <c r="AA230" s="5">
        <v>2356217.0</v>
      </c>
    </row>
    <row r="231">
      <c r="Z231" s="5">
        <v>229.0</v>
      </c>
      <c r="AA231" s="5">
        <v>2355908.0</v>
      </c>
    </row>
    <row r="232">
      <c r="Z232" s="5">
        <v>230.0</v>
      </c>
      <c r="AA232" s="5">
        <v>2355819.0</v>
      </c>
    </row>
    <row r="233">
      <c r="Z233" s="5">
        <v>231.0</v>
      </c>
      <c r="AA233" s="5">
        <v>2355742.0</v>
      </c>
    </row>
    <row r="234">
      <c r="Z234" s="5">
        <v>232.0</v>
      </c>
      <c r="AA234" s="5">
        <v>2354119.0</v>
      </c>
    </row>
    <row r="235">
      <c r="Z235" s="5">
        <v>233.0</v>
      </c>
      <c r="AA235" s="5">
        <v>2354009.0</v>
      </c>
    </row>
    <row r="236">
      <c r="Z236" s="5">
        <v>234.0</v>
      </c>
      <c r="AA236" s="5">
        <v>2353634.0</v>
      </c>
    </row>
    <row r="237">
      <c r="Z237" s="5">
        <v>235.0</v>
      </c>
      <c r="AA237" s="5">
        <v>2353303.0</v>
      </c>
    </row>
    <row r="238">
      <c r="Z238" s="5">
        <v>236.0</v>
      </c>
      <c r="AA238" s="5">
        <v>2349040.0</v>
      </c>
    </row>
    <row r="239">
      <c r="Z239" s="5">
        <v>237.0</v>
      </c>
      <c r="AA239" s="5">
        <v>2348530.0</v>
      </c>
    </row>
    <row r="240">
      <c r="Z240" s="5">
        <v>238.0</v>
      </c>
      <c r="AA240" s="5">
        <v>2348333.0</v>
      </c>
    </row>
    <row r="241">
      <c r="Z241" s="5">
        <v>239.0</v>
      </c>
      <c r="AA241" s="5">
        <v>2347685.0</v>
      </c>
    </row>
    <row r="242">
      <c r="Z242" s="5">
        <v>240.0</v>
      </c>
      <c r="AA242" s="5">
        <v>2346406.0</v>
      </c>
    </row>
    <row r="243">
      <c r="Z243" s="5">
        <v>241.0</v>
      </c>
      <c r="AA243" s="5">
        <v>2345041.0</v>
      </c>
    </row>
    <row r="244">
      <c r="Z244" s="5">
        <v>242.0</v>
      </c>
      <c r="AA244" s="5">
        <v>2343677.0</v>
      </c>
    </row>
    <row r="245">
      <c r="Z245" s="5">
        <v>243.0</v>
      </c>
      <c r="AA245" s="5">
        <v>2342946.0</v>
      </c>
    </row>
    <row r="246">
      <c r="Z246" s="5">
        <v>244.0</v>
      </c>
      <c r="AA246" s="5">
        <v>2341739.0</v>
      </c>
    </row>
    <row r="247">
      <c r="Z247" s="5">
        <v>245.0</v>
      </c>
      <c r="AA247" s="5">
        <v>2339134.0</v>
      </c>
    </row>
    <row r="248">
      <c r="Z248" s="5">
        <v>246.0</v>
      </c>
      <c r="AA248" s="5">
        <v>2338482.0</v>
      </c>
    </row>
    <row r="249">
      <c r="Z249" s="5">
        <v>247.0</v>
      </c>
      <c r="AA249" s="5">
        <v>2335858.0</v>
      </c>
    </row>
    <row r="250">
      <c r="Z250" s="5">
        <v>248.0</v>
      </c>
      <c r="AA250" s="5">
        <v>2333284.0</v>
      </c>
    </row>
    <row r="251">
      <c r="Z251" s="5">
        <v>249.0</v>
      </c>
      <c r="AA251" s="5">
        <v>2331446.0</v>
      </c>
    </row>
    <row r="252">
      <c r="Z252" s="5">
        <v>250.0</v>
      </c>
      <c r="AA252" s="5">
        <v>2327918.0</v>
      </c>
    </row>
    <row r="253">
      <c r="Z253" s="5">
        <v>251.0</v>
      </c>
      <c r="AA253" s="5">
        <v>2325844.0</v>
      </c>
    </row>
    <row r="254">
      <c r="Z254" s="5">
        <v>252.0</v>
      </c>
      <c r="AA254" s="5">
        <v>2325294.0</v>
      </c>
    </row>
    <row r="255">
      <c r="Z255" s="5">
        <v>253.0</v>
      </c>
      <c r="AA255" s="5">
        <v>2324653.0</v>
      </c>
    </row>
    <row r="256">
      <c r="Z256" s="5">
        <v>254.0</v>
      </c>
      <c r="AA256" s="5">
        <v>2322658.0</v>
      </c>
    </row>
    <row r="257">
      <c r="Z257" s="5">
        <v>255.0</v>
      </c>
      <c r="AA257" s="5">
        <v>2317970.0</v>
      </c>
    </row>
    <row r="258">
      <c r="Z258" s="5">
        <v>256.0</v>
      </c>
      <c r="AA258" s="5">
        <v>2317423.0</v>
      </c>
    </row>
    <row r="259">
      <c r="Z259" s="5">
        <v>257.0</v>
      </c>
      <c r="AA259" s="5">
        <v>2317181.0</v>
      </c>
    </row>
    <row r="260">
      <c r="Z260" s="5">
        <v>258.0</v>
      </c>
      <c r="AA260" s="5">
        <v>2316290.0</v>
      </c>
    </row>
    <row r="261">
      <c r="Z261" s="5">
        <v>259.0</v>
      </c>
      <c r="AA261" s="5">
        <v>2314411.0</v>
      </c>
    </row>
    <row r="262">
      <c r="Z262" s="5">
        <v>260.0</v>
      </c>
      <c r="AA262" s="5">
        <v>2313173.0</v>
      </c>
    </row>
    <row r="263">
      <c r="Z263" s="5">
        <v>261.0</v>
      </c>
      <c r="AA263" s="5">
        <v>2310129.0</v>
      </c>
    </row>
    <row r="264">
      <c r="Z264" s="5">
        <v>262.0</v>
      </c>
      <c r="AA264" s="5">
        <v>2309666.0</v>
      </c>
    </row>
    <row r="265">
      <c r="Z265" s="5">
        <v>263.0</v>
      </c>
      <c r="AA265" s="5">
        <v>2307461.0</v>
      </c>
    </row>
    <row r="266">
      <c r="Z266" s="5">
        <v>264.0</v>
      </c>
      <c r="AA266" s="5">
        <v>2307371.0</v>
      </c>
    </row>
    <row r="267">
      <c r="Z267" s="5">
        <v>265.0</v>
      </c>
      <c r="AA267" s="5">
        <v>2306427.0</v>
      </c>
    </row>
    <row r="268">
      <c r="Z268" s="5">
        <v>266.0</v>
      </c>
      <c r="AA268" s="5">
        <v>2305472.0</v>
      </c>
    </row>
    <row r="269">
      <c r="Z269" s="5">
        <v>267.0</v>
      </c>
      <c r="AA269" s="5">
        <v>2303656.0</v>
      </c>
    </row>
    <row r="270">
      <c r="Z270" s="5">
        <v>268.0</v>
      </c>
      <c r="AA270" s="5">
        <v>2303062.0</v>
      </c>
    </row>
    <row r="271">
      <c r="Z271" s="5">
        <v>269.0</v>
      </c>
      <c r="AA271" s="5">
        <v>2301675.0</v>
      </c>
    </row>
    <row r="272">
      <c r="Z272" s="5">
        <v>270.0</v>
      </c>
      <c r="AA272" s="5">
        <v>2297673.0</v>
      </c>
    </row>
    <row r="273">
      <c r="Z273" s="5">
        <v>271.0</v>
      </c>
      <c r="AA273" s="5">
        <v>2296546.0</v>
      </c>
    </row>
    <row r="274">
      <c r="Z274" s="5">
        <v>272.0</v>
      </c>
      <c r="AA274" s="5">
        <v>2295638.0</v>
      </c>
    </row>
    <row r="275">
      <c r="Z275" s="5">
        <v>273.0</v>
      </c>
      <c r="AA275" s="5">
        <v>2294735.0</v>
      </c>
    </row>
    <row r="276">
      <c r="Z276" s="5">
        <v>274.0</v>
      </c>
      <c r="AA276" s="5">
        <v>2294606.0</v>
      </c>
    </row>
    <row r="277">
      <c r="Z277" s="5">
        <v>275.0</v>
      </c>
      <c r="AA277" s="5">
        <v>2293820.0</v>
      </c>
    </row>
    <row r="278">
      <c r="Z278" s="5">
        <v>276.0</v>
      </c>
      <c r="AA278" s="5">
        <v>2291126.0</v>
      </c>
    </row>
    <row r="279">
      <c r="Z279" s="5">
        <v>277.0</v>
      </c>
      <c r="AA279" s="5">
        <v>2287394.0</v>
      </c>
    </row>
    <row r="280">
      <c r="Z280" s="5">
        <v>278.0</v>
      </c>
      <c r="AA280" s="5">
        <v>2285484.0</v>
      </c>
    </row>
    <row r="281">
      <c r="Z281" s="5">
        <v>279.0</v>
      </c>
      <c r="AA281" s="5">
        <v>2284875.0</v>
      </c>
    </row>
    <row r="282">
      <c r="Z282" s="5">
        <v>280.0</v>
      </c>
      <c r="AA282" s="5">
        <v>2282791.0</v>
      </c>
    </row>
    <row r="283">
      <c r="Z283" s="5">
        <v>281.0</v>
      </c>
      <c r="AA283" s="5">
        <v>2281479.0</v>
      </c>
    </row>
    <row r="284">
      <c r="Z284" s="5">
        <v>282.0</v>
      </c>
      <c r="AA284" s="5">
        <v>2278395.0</v>
      </c>
    </row>
    <row r="285">
      <c r="Z285" s="5">
        <v>283.0</v>
      </c>
      <c r="AA285" s="5">
        <v>2277992.0</v>
      </c>
    </row>
    <row r="286">
      <c r="Z286" s="5">
        <v>284.0</v>
      </c>
      <c r="AA286" s="5">
        <v>2276533.0</v>
      </c>
    </row>
    <row r="287">
      <c r="Z287" s="5">
        <v>285.0</v>
      </c>
      <c r="AA287" s="5">
        <v>2276157.0</v>
      </c>
    </row>
    <row r="288">
      <c r="Z288" s="5">
        <v>286.0</v>
      </c>
      <c r="AA288" s="5">
        <v>2274779.0</v>
      </c>
    </row>
    <row r="289">
      <c r="Z289" s="5">
        <v>287.0</v>
      </c>
      <c r="AA289" s="5">
        <v>2273913.0</v>
      </c>
    </row>
    <row r="290">
      <c r="Z290" s="5">
        <v>288.0</v>
      </c>
      <c r="AA290" s="5">
        <v>2272886.0</v>
      </c>
    </row>
    <row r="291">
      <c r="Z291" s="5">
        <v>289.0</v>
      </c>
      <c r="AA291" s="5">
        <v>2271999.0</v>
      </c>
    </row>
    <row r="292">
      <c r="Z292" s="5">
        <v>290.0</v>
      </c>
      <c r="AA292" s="5">
        <v>2267009.0</v>
      </c>
    </row>
    <row r="293">
      <c r="Z293" s="5">
        <v>291.0</v>
      </c>
      <c r="AA293" s="5">
        <v>2266323.0</v>
      </c>
    </row>
    <row r="294">
      <c r="Z294" s="5">
        <v>292.0</v>
      </c>
      <c r="AA294" s="5">
        <v>2265367.0</v>
      </c>
    </row>
    <row r="295">
      <c r="Z295" s="5">
        <v>293.0</v>
      </c>
      <c r="AA295" s="5">
        <v>2263712.0</v>
      </c>
    </row>
    <row r="296">
      <c r="Z296" s="5">
        <v>294.0</v>
      </c>
      <c r="AA296" s="5">
        <v>2263496.0</v>
      </c>
    </row>
    <row r="297">
      <c r="Z297" s="5">
        <v>295.0</v>
      </c>
      <c r="AA297" s="5">
        <v>2261976.0</v>
      </c>
    </row>
    <row r="298">
      <c r="Z298" s="5">
        <v>296.0</v>
      </c>
      <c r="AA298" s="5">
        <v>2261070.0</v>
      </c>
    </row>
    <row r="299">
      <c r="Z299" s="5">
        <v>297.0</v>
      </c>
      <c r="AA299" s="5">
        <v>2259808.0</v>
      </c>
    </row>
    <row r="300">
      <c r="Z300" s="5">
        <v>298.0</v>
      </c>
      <c r="AA300" s="5">
        <v>2258975.0</v>
      </c>
    </row>
    <row r="301">
      <c r="Z301" s="5">
        <v>299.0</v>
      </c>
      <c r="AA301" s="5">
        <v>2258809.0</v>
      </c>
    </row>
    <row r="302">
      <c r="Z302" s="5">
        <v>300.0</v>
      </c>
      <c r="AA302" s="5">
        <v>2257078.0</v>
      </c>
    </row>
    <row r="303">
      <c r="Z303" s="5">
        <v>301.0</v>
      </c>
      <c r="AA303" s="5">
        <v>2255386.0</v>
      </c>
    </row>
    <row r="304">
      <c r="Z304" s="5">
        <v>302.0</v>
      </c>
      <c r="AA304" s="5">
        <v>2249507.0</v>
      </c>
    </row>
    <row r="305">
      <c r="Z305" s="5">
        <v>303.0</v>
      </c>
      <c r="AA305" s="5">
        <v>2249286.0</v>
      </c>
    </row>
    <row r="306">
      <c r="Z306" s="5">
        <v>304.0</v>
      </c>
      <c r="AA306" s="5">
        <v>2248661.0</v>
      </c>
    </row>
    <row r="307">
      <c r="Z307" s="5">
        <v>305.0</v>
      </c>
      <c r="AA307" s="5">
        <v>2246758.0</v>
      </c>
    </row>
    <row r="308">
      <c r="Z308" s="5">
        <v>306.0</v>
      </c>
      <c r="AA308" s="5">
        <v>2245682.0</v>
      </c>
    </row>
    <row r="309">
      <c r="Z309" s="5">
        <v>307.0</v>
      </c>
      <c r="AA309" s="5">
        <v>2244578.0</v>
      </c>
    </row>
    <row r="310">
      <c r="Z310" s="5">
        <v>308.0</v>
      </c>
      <c r="AA310" s="5">
        <v>2244353.0</v>
      </c>
    </row>
    <row r="311">
      <c r="Z311" s="5">
        <v>309.0</v>
      </c>
      <c r="AA311" s="5">
        <v>2244286.0</v>
      </c>
    </row>
    <row r="312">
      <c r="Z312" s="5">
        <v>310.0</v>
      </c>
      <c r="AA312" s="5">
        <v>2244198.0</v>
      </c>
    </row>
    <row r="313">
      <c r="Z313" s="5">
        <v>311.0</v>
      </c>
      <c r="AA313" s="5">
        <v>2241232.0</v>
      </c>
    </row>
    <row r="314">
      <c r="Z314" s="5">
        <v>312.0</v>
      </c>
      <c r="AA314" s="5">
        <v>2240607.0</v>
      </c>
    </row>
    <row r="315">
      <c r="Z315" s="5">
        <v>313.0</v>
      </c>
      <c r="AA315" s="5">
        <v>2238839.0</v>
      </c>
    </row>
    <row r="316">
      <c r="Z316" s="5">
        <v>314.0</v>
      </c>
      <c r="AA316" s="5">
        <v>2238519.0</v>
      </c>
    </row>
    <row r="317">
      <c r="Z317" s="5">
        <v>315.0</v>
      </c>
      <c r="AA317" s="5">
        <v>2238430.0</v>
      </c>
    </row>
    <row r="318">
      <c r="Z318" s="5">
        <v>316.0</v>
      </c>
      <c r="AA318" s="5">
        <v>2237305.0</v>
      </c>
    </row>
    <row r="319">
      <c r="Z319" s="5">
        <v>317.0</v>
      </c>
      <c r="AA319" s="5">
        <v>2236630.0</v>
      </c>
    </row>
    <row r="320">
      <c r="Z320" s="5">
        <v>318.0</v>
      </c>
      <c r="AA320" s="5">
        <v>2233155.0</v>
      </c>
    </row>
    <row r="321">
      <c r="Z321" s="5">
        <v>319.0</v>
      </c>
      <c r="AA321" s="5">
        <v>2231963.0</v>
      </c>
    </row>
    <row r="322">
      <c r="Z322" s="5">
        <v>320.0</v>
      </c>
      <c r="AA322" s="5">
        <v>2230781.0</v>
      </c>
    </row>
    <row r="323">
      <c r="Z323" s="5">
        <v>321.0</v>
      </c>
      <c r="AA323" s="5">
        <v>2228297.0</v>
      </c>
    </row>
    <row r="324">
      <c r="Z324" s="5">
        <v>322.0</v>
      </c>
      <c r="AA324" s="5">
        <v>2226069.0</v>
      </c>
    </row>
    <row r="325">
      <c r="Z325" s="5">
        <v>323.0</v>
      </c>
      <c r="AA325" s="5">
        <v>2225708.0</v>
      </c>
    </row>
    <row r="326">
      <c r="Z326" s="5">
        <v>324.0</v>
      </c>
      <c r="AA326" s="5">
        <v>2224029.0</v>
      </c>
    </row>
    <row r="327">
      <c r="Z327" s="5">
        <v>325.0</v>
      </c>
      <c r="AA327" s="5">
        <v>2220618.0</v>
      </c>
    </row>
    <row r="328">
      <c r="Z328" s="5">
        <v>326.0</v>
      </c>
      <c r="AA328" s="5">
        <v>2218582.0</v>
      </c>
    </row>
    <row r="329">
      <c r="Z329" s="5">
        <v>327.0</v>
      </c>
      <c r="AA329" s="5">
        <v>2217847.0</v>
      </c>
    </row>
    <row r="330">
      <c r="Z330" s="5">
        <v>328.0</v>
      </c>
      <c r="AA330" s="5">
        <v>2217459.0</v>
      </c>
    </row>
    <row r="331">
      <c r="Z331" s="5">
        <v>329.0</v>
      </c>
      <c r="AA331" s="5">
        <v>2213051.0</v>
      </c>
    </row>
    <row r="332">
      <c r="Z332" s="5">
        <v>330.0</v>
      </c>
      <c r="AA332" s="5">
        <v>2212571.0</v>
      </c>
    </row>
    <row r="333">
      <c r="Z333" s="5">
        <v>331.0</v>
      </c>
      <c r="AA333" s="5">
        <v>2212296.0</v>
      </c>
    </row>
    <row r="334">
      <c r="Z334" s="5">
        <v>332.0</v>
      </c>
      <c r="AA334" s="5">
        <v>2210960.0</v>
      </c>
    </row>
    <row r="335">
      <c r="Z335" s="5">
        <v>333.0</v>
      </c>
      <c r="AA335" s="5">
        <v>2210581.0</v>
      </c>
    </row>
    <row r="336">
      <c r="Z336" s="5">
        <v>334.0</v>
      </c>
      <c r="AA336" s="5">
        <v>2209929.0</v>
      </c>
    </row>
    <row r="337">
      <c r="Z337" s="5">
        <v>335.0</v>
      </c>
      <c r="AA337" s="5">
        <v>2207983.0</v>
      </c>
    </row>
    <row r="338">
      <c r="Z338" s="5">
        <v>336.0</v>
      </c>
      <c r="AA338" s="5">
        <v>2207368.0</v>
      </c>
    </row>
    <row r="339">
      <c r="Z339" s="5">
        <v>337.0</v>
      </c>
      <c r="AA339" s="5">
        <v>2206677.0</v>
      </c>
    </row>
    <row r="340">
      <c r="Z340" s="5">
        <v>338.0</v>
      </c>
      <c r="AA340" s="5">
        <v>2205967.0</v>
      </c>
    </row>
    <row r="341">
      <c r="Z341" s="5">
        <v>339.0</v>
      </c>
      <c r="AA341" s="5">
        <v>2204925.0</v>
      </c>
    </row>
    <row r="342">
      <c r="Z342" s="5">
        <v>340.0</v>
      </c>
      <c r="AA342" s="5">
        <v>2204327.0</v>
      </c>
    </row>
    <row r="343">
      <c r="Z343" s="5">
        <v>341.0</v>
      </c>
      <c r="AA343" s="5">
        <v>2202072.0</v>
      </c>
    </row>
    <row r="344">
      <c r="Z344" s="5">
        <v>342.0</v>
      </c>
      <c r="AA344" s="5">
        <v>2200286.0</v>
      </c>
    </row>
    <row r="345">
      <c r="Z345" s="5">
        <v>343.0</v>
      </c>
      <c r="AA345" s="5">
        <v>2197907.0</v>
      </c>
    </row>
    <row r="346">
      <c r="Z346" s="5">
        <v>344.0</v>
      </c>
      <c r="AA346" s="5">
        <v>2194811.0</v>
      </c>
    </row>
    <row r="347">
      <c r="Z347" s="5">
        <v>345.0</v>
      </c>
      <c r="AA347" s="5">
        <v>2193622.0</v>
      </c>
    </row>
    <row r="348">
      <c r="Z348" s="5">
        <v>346.0</v>
      </c>
      <c r="AA348" s="5">
        <v>2192547.0</v>
      </c>
    </row>
    <row r="349">
      <c r="Z349" s="5">
        <v>347.0</v>
      </c>
      <c r="AA349" s="5">
        <v>2191660.0</v>
      </c>
    </row>
    <row r="350">
      <c r="Z350" s="5">
        <v>348.0</v>
      </c>
      <c r="AA350" s="5">
        <v>2191455.0</v>
      </c>
    </row>
    <row r="351">
      <c r="Z351" s="5">
        <v>349.0</v>
      </c>
      <c r="AA351" s="5">
        <v>2190858.0</v>
      </c>
    </row>
    <row r="352">
      <c r="Z352" s="5">
        <v>350.0</v>
      </c>
      <c r="AA352" s="5">
        <v>2189316.0</v>
      </c>
    </row>
    <row r="353">
      <c r="Z353" s="5">
        <v>351.0</v>
      </c>
      <c r="AA353" s="5">
        <v>2187520.0</v>
      </c>
    </row>
    <row r="354">
      <c r="Z354" s="5">
        <v>352.0</v>
      </c>
      <c r="AA354" s="5">
        <v>2184583.0</v>
      </c>
    </row>
    <row r="355">
      <c r="Z355" s="5">
        <v>353.0</v>
      </c>
      <c r="AA355" s="5">
        <v>2183958.0</v>
      </c>
    </row>
    <row r="356">
      <c r="Z356" s="5">
        <v>354.0</v>
      </c>
      <c r="AA356" s="5">
        <v>2179425.0</v>
      </c>
    </row>
    <row r="357">
      <c r="Z357" s="5">
        <v>355.0</v>
      </c>
      <c r="AA357" s="5">
        <v>2178970.0</v>
      </c>
    </row>
    <row r="358">
      <c r="Z358" s="5">
        <v>356.0</v>
      </c>
      <c r="AA358" s="5">
        <v>2178739.0</v>
      </c>
    </row>
    <row r="359">
      <c r="Z359" s="5">
        <v>357.0</v>
      </c>
      <c r="AA359" s="5">
        <v>2177653.0</v>
      </c>
    </row>
    <row r="360">
      <c r="Z360" s="5">
        <v>358.0</v>
      </c>
      <c r="AA360" s="5">
        <v>2175853.0</v>
      </c>
    </row>
    <row r="361">
      <c r="Z361" s="5">
        <v>359.0</v>
      </c>
      <c r="AA361" s="5">
        <v>2175477.0</v>
      </c>
    </row>
    <row r="362">
      <c r="Z362" s="5">
        <v>360.0</v>
      </c>
      <c r="AA362" s="5">
        <v>2175068.0</v>
      </c>
    </row>
    <row r="363">
      <c r="Z363" s="5">
        <v>361.0</v>
      </c>
      <c r="AA363" s="5">
        <v>2174151.0</v>
      </c>
    </row>
    <row r="364">
      <c r="Z364" s="5">
        <v>362.0</v>
      </c>
      <c r="AA364" s="5">
        <v>2171258.0</v>
      </c>
    </row>
    <row r="365">
      <c r="Z365" s="5">
        <v>363.0</v>
      </c>
      <c r="AA365" s="5">
        <v>2170850.0</v>
      </c>
    </row>
    <row r="366">
      <c r="Z366" s="5">
        <v>364.0</v>
      </c>
      <c r="AA366" s="5">
        <v>2169107.0</v>
      </c>
    </row>
    <row r="367">
      <c r="Z367" s="5">
        <v>365.0</v>
      </c>
      <c r="AA367" s="5">
        <v>2167733.0</v>
      </c>
    </row>
    <row r="368">
      <c r="Z368" s="5">
        <v>366.0</v>
      </c>
      <c r="AA368" s="5">
        <v>2167391.0</v>
      </c>
    </row>
    <row r="369">
      <c r="Z369" s="5">
        <v>367.0</v>
      </c>
      <c r="AA369" s="5">
        <v>2167276.0</v>
      </c>
    </row>
    <row r="370">
      <c r="Z370" s="5">
        <v>368.0</v>
      </c>
      <c r="AA370" s="5">
        <v>2167153.0</v>
      </c>
    </row>
    <row r="371">
      <c r="Z371" s="5">
        <v>369.0</v>
      </c>
      <c r="AA371" s="5">
        <v>2166615.0</v>
      </c>
    </row>
    <row r="372">
      <c r="Z372" s="5">
        <v>370.0</v>
      </c>
      <c r="AA372" s="5">
        <v>2166347.0</v>
      </c>
    </row>
    <row r="373">
      <c r="Z373" s="5">
        <v>371.0</v>
      </c>
      <c r="AA373" s="5">
        <v>2166045.0</v>
      </c>
    </row>
    <row r="374">
      <c r="Z374" s="5">
        <v>372.0</v>
      </c>
      <c r="AA374" s="5">
        <v>2163153.0</v>
      </c>
    </row>
    <row r="375">
      <c r="Z375" s="5">
        <v>373.0</v>
      </c>
      <c r="AA375" s="5">
        <v>2161264.0</v>
      </c>
    </row>
    <row r="376">
      <c r="Z376" s="5">
        <v>374.0</v>
      </c>
      <c r="AA376" s="5">
        <v>2161189.0</v>
      </c>
    </row>
    <row r="377">
      <c r="Z377" s="5">
        <v>375.0</v>
      </c>
      <c r="AA377" s="5">
        <v>2159948.0</v>
      </c>
    </row>
    <row r="378">
      <c r="Z378" s="5">
        <v>376.0</v>
      </c>
      <c r="AA378" s="5">
        <v>2158816.0</v>
      </c>
    </row>
    <row r="379">
      <c r="Z379" s="5">
        <v>377.0</v>
      </c>
      <c r="AA379" s="5">
        <v>2158621.0</v>
      </c>
    </row>
    <row r="380">
      <c r="Z380" s="5">
        <v>378.0</v>
      </c>
      <c r="AA380" s="5">
        <v>2158025.0</v>
      </c>
    </row>
    <row r="381">
      <c r="Z381" s="5">
        <v>379.0</v>
      </c>
      <c r="AA381" s="5">
        <v>2157885.0</v>
      </c>
    </row>
    <row r="382">
      <c r="Z382" s="5">
        <v>380.0</v>
      </c>
      <c r="AA382" s="5">
        <v>2155858.0</v>
      </c>
    </row>
    <row r="383">
      <c r="Z383" s="5">
        <v>381.0</v>
      </c>
      <c r="AA383" s="5">
        <v>2155519.0</v>
      </c>
    </row>
    <row r="384">
      <c r="Z384" s="5">
        <v>382.0</v>
      </c>
      <c r="AA384" s="5">
        <v>2155485.0</v>
      </c>
    </row>
    <row r="385">
      <c r="Z385" s="5">
        <v>383.0</v>
      </c>
      <c r="AA385" s="5">
        <v>2155438.0</v>
      </c>
    </row>
    <row r="386">
      <c r="Z386" s="5">
        <v>384.0</v>
      </c>
      <c r="AA386" s="5">
        <v>2155037.0</v>
      </c>
    </row>
    <row r="387">
      <c r="Z387" s="5">
        <v>385.0</v>
      </c>
      <c r="AA387" s="5">
        <v>2152050.0</v>
      </c>
    </row>
    <row r="388">
      <c r="Z388" s="5">
        <v>386.0</v>
      </c>
      <c r="AA388" s="5">
        <v>2151473.0</v>
      </c>
    </row>
    <row r="389">
      <c r="Z389" s="5">
        <v>387.0</v>
      </c>
      <c r="AA389" s="5">
        <v>2150859.0</v>
      </c>
    </row>
    <row r="390">
      <c r="Z390" s="5">
        <v>388.0</v>
      </c>
      <c r="AA390" s="5">
        <v>2150535.0</v>
      </c>
    </row>
    <row r="391">
      <c r="Z391" s="5">
        <v>389.0</v>
      </c>
      <c r="AA391" s="5">
        <v>2149595.0</v>
      </c>
    </row>
    <row r="392">
      <c r="Z392" s="5">
        <v>390.0</v>
      </c>
      <c r="AA392" s="5">
        <v>2149158.0</v>
      </c>
    </row>
    <row r="393">
      <c r="Z393" s="5">
        <v>391.0</v>
      </c>
      <c r="AA393" s="5">
        <v>2148645.0</v>
      </c>
    </row>
    <row r="394">
      <c r="Z394" s="5">
        <v>392.0</v>
      </c>
      <c r="AA394" s="5">
        <v>2147743.0</v>
      </c>
    </row>
    <row r="395">
      <c r="Z395" s="5">
        <v>393.0</v>
      </c>
      <c r="AA395" s="5">
        <v>2147330.0</v>
      </c>
    </row>
    <row r="396">
      <c r="Z396" s="5">
        <v>394.0</v>
      </c>
      <c r="AA396" s="5">
        <v>2147266.0</v>
      </c>
    </row>
    <row r="397">
      <c r="Z397" s="5">
        <v>395.0</v>
      </c>
      <c r="AA397" s="5">
        <v>2147061.0</v>
      </c>
    </row>
    <row r="398">
      <c r="Z398" s="5">
        <v>396.0</v>
      </c>
      <c r="AA398" s="5">
        <v>2146838.0</v>
      </c>
    </row>
    <row r="399">
      <c r="Z399" s="5">
        <v>397.0</v>
      </c>
      <c r="AA399" s="5">
        <v>2146678.0</v>
      </c>
    </row>
    <row r="400">
      <c r="Z400" s="5">
        <v>398.0</v>
      </c>
      <c r="AA400" s="5">
        <v>2146615.0</v>
      </c>
    </row>
    <row r="401">
      <c r="Z401" s="5">
        <v>399.0</v>
      </c>
      <c r="AA401" s="5">
        <v>2145241.0</v>
      </c>
    </row>
    <row r="402">
      <c r="Z402" s="5">
        <v>400.0</v>
      </c>
      <c r="AA402" s="5">
        <v>2145034.0</v>
      </c>
    </row>
    <row r="403">
      <c r="Z403" s="5">
        <v>401.0</v>
      </c>
      <c r="AA403" s="5">
        <v>2144825.0</v>
      </c>
    </row>
    <row r="404">
      <c r="Z404" s="5">
        <v>402.0</v>
      </c>
      <c r="AA404" s="5">
        <v>2144755.0</v>
      </c>
    </row>
    <row r="405">
      <c r="Z405" s="5">
        <v>403.0</v>
      </c>
      <c r="AA405" s="5">
        <v>2143035.0</v>
      </c>
    </row>
    <row r="406">
      <c r="Z406" s="5">
        <v>404.0</v>
      </c>
      <c r="AA406" s="5">
        <v>2142499.0</v>
      </c>
    </row>
    <row r="407">
      <c r="Z407" s="5">
        <v>405.0</v>
      </c>
      <c r="AA407" s="5">
        <v>2141751.0</v>
      </c>
    </row>
    <row r="408">
      <c r="Z408" s="5">
        <v>406.0</v>
      </c>
      <c r="AA408" s="5">
        <v>2141643.0</v>
      </c>
    </row>
    <row r="409">
      <c r="Z409" s="5">
        <v>407.0</v>
      </c>
      <c r="AA409" s="5">
        <v>2141243.0</v>
      </c>
    </row>
    <row r="410">
      <c r="Z410" s="5">
        <v>408.0</v>
      </c>
      <c r="AA410" s="5">
        <v>2141117.0</v>
      </c>
    </row>
    <row r="411">
      <c r="Z411" s="5">
        <v>409.0</v>
      </c>
      <c r="AA411" s="5">
        <v>2141074.0</v>
      </c>
    </row>
    <row r="412">
      <c r="Z412" s="5">
        <v>410.0</v>
      </c>
      <c r="AA412" s="5">
        <v>2140632.0</v>
      </c>
    </row>
    <row r="413">
      <c r="Z413" s="5">
        <v>411.0</v>
      </c>
      <c r="AA413" s="5">
        <v>2140485.0</v>
      </c>
    </row>
    <row r="414">
      <c r="Z414" s="5">
        <v>412.0</v>
      </c>
      <c r="AA414" s="5">
        <v>2140262.0</v>
      </c>
    </row>
    <row r="415">
      <c r="Z415" s="5">
        <v>413.0</v>
      </c>
      <c r="AA415" s="5">
        <v>2140082.0</v>
      </c>
    </row>
    <row r="416">
      <c r="Z416" s="5">
        <v>414.0</v>
      </c>
      <c r="AA416" s="5">
        <v>2140038.0</v>
      </c>
    </row>
    <row r="417">
      <c r="Z417" s="5">
        <v>415.0</v>
      </c>
      <c r="AA417" s="5">
        <v>2138449.0</v>
      </c>
    </row>
    <row r="418">
      <c r="Z418" s="5">
        <v>416.0</v>
      </c>
      <c r="AA418" s="5">
        <v>2138121.0</v>
      </c>
    </row>
    <row r="419">
      <c r="Z419" s="5">
        <v>417.0</v>
      </c>
      <c r="AA419" s="5">
        <v>2136824.0</v>
      </c>
    </row>
    <row r="420">
      <c r="Z420" s="5">
        <v>418.0</v>
      </c>
      <c r="AA420" s="5">
        <v>2136806.0</v>
      </c>
    </row>
    <row r="421">
      <c r="Z421" s="5">
        <v>419.0</v>
      </c>
      <c r="AA421" s="5">
        <v>2136665.0</v>
      </c>
    </row>
    <row r="422">
      <c r="Z422" s="5">
        <v>420.0</v>
      </c>
      <c r="AA422" s="5">
        <v>2136657.0</v>
      </c>
    </row>
    <row r="423">
      <c r="Z423" s="5">
        <v>421.0</v>
      </c>
      <c r="AA423" s="5">
        <v>2136289.0</v>
      </c>
    </row>
    <row r="424">
      <c r="Z424" s="5">
        <v>422.0</v>
      </c>
      <c r="AA424" s="5">
        <v>2136146.0</v>
      </c>
    </row>
    <row r="425">
      <c r="Z425" s="5">
        <v>423.0</v>
      </c>
      <c r="AA425" s="5">
        <v>2135426.0</v>
      </c>
    </row>
    <row r="426">
      <c r="Z426" s="5">
        <v>424.0</v>
      </c>
      <c r="AA426" s="5">
        <v>2134532.0</v>
      </c>
    </row>
    <row r="427">
      <c r="Z427" s="5">
        <v>425.0</v>
      </c>
      <c r="AA427" s="5">
        <v>2134305.0</v>
      </c>
    </row>
    <row r="428">
      <c r="Z428" s="5">
        <v>426.0</v>
      </c>
      <c r="AA428" s="5">
        <v>2133910.0</v>
      </c>
    </row>
    <row r="429">
      <c r="Z429" s="5">
        <v>427.0</v>
      </c>
      <c r="AA429" s="5">
        <v>2133202.0</v>
      </c>
    </row>
    <row r="430">
      <c r="Z430" s="5">
        <v>428.0</v>
      </c>
      <c r="AA430" s="5">
        <v>2132317.0</v>
      </c>
    </row>
    <row r="431">
      <c r="Z431" s="5">
        <v>429.0</v>
      </c>
      <c r="AA431" s="5">
        <v>2131750.0</v>
      </c>
    </row>
    <row r="432">
      <c r="Z432" s="5">
        <v>430.0</v>
      </c>
      <c r="AA432" s="5">
        <v>2128416.0</v>
      </c>
    </row>
    <row r="433">
      <c r="Z433" s="5">
        <v>431.0</v>
      </c>
      <c r="AA433" s="5">
        <v>2124924.0</v>
      </c>
    </row>
    <row r="434">
      <c r="Z434" s="5">
        <v>432.0</v>
      </c>
      <c r="AA434" s="5">
        <v>2124115.0</v>
      </c>
    </row>
    <row r="435">
      <c r="Z435" s="5">
        <v>433.0</v>
      </c>
      <c r="AA435" s="5">
        <v>2122653.0</v>
      </c>
    </row>
    <row r="436">
      <c r="Z436" s="5">
        <v>434.0</v>
      </c>
      <c r="AA436" s="5">
        <v>2122532.0</v>
      </c>
    </row>
    <row r="437">
      <c r="Z437" s="5">
        <v>435.0</v>
      </c>
      <c r="AA437" s="5">
        <v>2122099.0</v>
      </c>
    </row>
    <row r="438">
      <c r="Z438" s="5">
        <v>436.0</v>
      </c>
      <c r="AA438" s="5">
        <v>2121290.0</v>
      </c>
    </row>
    <row r="439">
      <c r="Z439" s="5">
        <v>437.0</v>
      </c>
      <c r="AA439" s="5">
        <v>2120919.0</v>
      </c>
    </row>
    <row r="440">
      <c r="Z440" s="5">
        <v>438.0</v>
      </c>
      <c r="AA440" s="5">
        <v>2120332.0</v>
      </c>
    </row>
    <row r="441">
      <c r="Z441" s="5">
        <v>439.0</v>
      </c>
      <c r="AA441" s="5">
        <v>2120301.0</v>
      </c>
    </row>
    <row r="442">
      <c r="Z442" s="5">
        <v>440.0</v>
      </c>
      <c r="AA442" s="5">
        <v>2120123.0</v>
      </c>
    </row>
    <row r="443">
      <c r="Z443" s="5">
        <v>441.0</v>
      </c>
      <c r="AA443" s="5">
        <v>2119794.0</v>
      </c>
    </row>
    <row r="444">
      <c r="Z444" s="5">
        <v>442.0</v>
      </c>
      <c r="AA444" s="5">
        <v>2119557.0</v>
      </c>
    </row>
    <row r="445">
      <c r="Z445" s="5">
        <v>443.0</v>
      </c>
      <c r="AA445" s="5">
        <v>2118817.0</v>
      </c>
    </row>
    <row r="446">
      <c r="Z446" s="5">
        <v>444.0</v>
      </c>
      <c r="AA446" s="5">
        <v>2118600.0</v>
      </c>
    </row>
    <row r="447">
      <c r="Z447" s="5">
        <v>445.0</v>
      </c>
      <c r="AA447" s="5">
        <v>2117831.0</v>
      </c>
    </row>
    <row r="448">
      <c r="Z448" s="5">
        <v>446.0</v>
      </c>
      <c r="AA448" s="5">
        <v>2117573.0</v>
      </c>
    </row>
    <row r="449">
      <c r="Z449" s="5">
        <v>447.0</v>
      </c>
      <c r="AA449" s="5">
        <v>2116487.0</v>
      </c>
    </row>
    <row r="450">
      <c r="Z450" s="5">
        <v>448.0</v>
      </c>
      <c r="AA450" s="5">
        <v>2116487.0</v>
      </c>
    </row>
    <row r="451">
      <c r="Z451" s="5">
        <v>449.0</v>
      </c>
      <c r="AA451" s="5">
        <v>2116487.0</v>
      </c>
    </row>
    <row r="452">
      <c r="Z452" s="5">
        <v>450.0</v>
      </c>
      <c r="AA452" s="5">
        <v>2116286.0</v>
      </c>
    </row>
    <row r="453">
      <c r="Z453" s="5">
        <v>451.0</v>
      </c>
      <c r="AA453" s="5">
        <v>2116043.0</v>
      </c>
    </row>
    <row r="454">
      <c r="Z454" s="5">
        <v>452.0</v>
      </c>
      <c r="AA454" s="5">
        <v>2113819.0</v>
      </c>
    </row>
    <row r="455">
      <c r="Z455" s="5">
        <v>453.0</v>
      </c>
      <c r="AA455" s="5">
        <v>2111362.0</v>
      </c>
    </row>
    <row r="456">
      <c r="Z456" s="5">
        <v>454.0</v>
      </c>
      <c r="AA456" s="5">
        <v>2111006.0</v>
      </c>
    </row>
    <row r="457">
      <c r="Z457" s="5">
        <v>455.0</v>
      </c>
      <c r="AA457" s="5">
        <v>2110742.0</v>
      </c>
    </row>
    <row r="458">
      <c r="Z458" s="5">
        <v>456.0</v>
      </c>
      <c r="AA458" s="5">
        <v>2110599.0</v>
      </c>
    </row>
    <row r="459">
      <c r="Z459" s="5">
        <v>457.0</v>
      </c>
      <c r="AA459" s="5">
        <v>2109779.0</v>
      </c>
    </row>
    <row r="460">
      <c r="Z460" s="5">
        <v>458.0</v>
      </c>
      <c r="AA460" s="5">
        <v>2106535.0</v>
      </c>
    </row>
    <row r="461">
      <c r="Z461" s="5">
        <v>459.0</v>
      </c>
      <c r="AA461" s="5">
        <v>2106342.0</v>
      </c>
    </row>
    <row r="462">
      <c r="Z462" s="5">
        <v>460.0</v>
      </c>
      <c r="AA462" s="5">
        <v>2105735.0</v>
      </c>
    </row>
    <row r="463">
      <c r="Z463" s="5">
        <v>461.0</v>
      </c>
      <c r="AA463" s="5">
        <v>2104812.0</v>
      </c>
    </row>
    <row r="464">
      <c r="Z464" s="5">
        <v>462.0</v>
      </c>
      <c r="AA464" s="5">
        <v>2103659.0</v>
      </c>
    </row>
    <row r="465">
      <c r="Z465" s="5">
        <v>463.0</v>
      </c>
      <c r="AA465" s="5">
        <v>2101567.0</v>
      </c>
    </row>
    <row r="466">
      <c r="Z466" s="5">
        <v>464.0</v>
      </c>
      <c r="AA466" s="5">
        <v>2101475.0</v>
      </c>
    </row>
    <row r="467">
      <c r="Z467" s="5">
        <v>465.0</v>
      </c>
      <c r="AA467" s="5">
        <v>2101060.0</v>
      </c>
    </row>
    <row r="468">
      <c r="Z468" s="5">
        <v>466.0</v>
      </c>
      <c r="AA468" s="5">
        <v>2099939.0</v>
      </c>
    </row>
    <row r="469">
      <c r="Z469" s="5">
        <v>467.0</v>
      </c>
      <c r="AA469" s="5">
        <v>2099812.0</v>
      </c>
    </row>
    <row r="470">
      <c r="Z470" s="5">
        <v>468.0</v>
      </c>
      <c r="AA470" s="5">
        <v>2099412.0</v>
      </c>
    </row>
    <row r="471">
      <c r="Z471" s="5">
        <v>469.0</v>
      </c>
      <c r="AA471" s="5">
        <v>2098723.0</v>
      </c>
    </row>
    <row r="472">
      <c r="Z472" s="5">
        <v>470.0</v>
      </c>
      <c r="AA472" s="5">
        <v>2097484.0</v>
      </c>
    </row>
    <row r="473">
      <c r="Z473" s="5">
        <v>471.0</v>
      </c>
      <c r="AA473" s="5">
        <v>2095566.0</v>
      </c>
    </row>
    <row r="474">
      <c r="Z474" s="5">
        <v>472.0</v>
      </c>
      <c r="AA474" s="5">
        <v>2095083.0</v>
      </c>
    </row>
    <row r="475">
      <c r="Z475" s="5">
        <v>473.0</v>
      </c>
      <c r="AA475" s="5">
        <v>2094952.0</v>
      </c>
    </row>
    <row r="476">
      <c r="Z476" s="5">
        <v>474.0</v>
      </c>
      <c r="AA476" s="5">
        <v>2094057.0</v>
      </c>
    </row>
    <row r="477">
      <c r="Z477" s="5">
        <v>475.0</v>
      </c>
      <c r="AA477" s="5">
        <v>2093608.0</v>
      </c>
    </row>
    <row r="478">
      <c r="Z478" s="5">
        <v>476.0</v>
      </c>
      <c r="AA478" s="5">
        <v>2093203.0</v>
      </c>
    </row>
    <row r="479">
      <c r="Z479" s="5">
        <v>477.0</v>
      </c>
      <c r="AA479" s="5">
        <v>2093145.0</v>
      </c>
    </row>
    <row r="480">
      <c r="Z480" s="5">
        <v>478.0</v>
      </c>
      <c r="AA480" s="5">
        <v>2091855.0</v>
      </c>
    </row>
    <row r="481">
      <c r="Z481" s="5">
        <v>479.0</v>
      </c>
      <c r="AA481" s="5">
        <v>2091652.0</v>
      </c>
    </row>
    <row r="482">
      <c r="Z482" s="5">
        <v>480.0</v>
      </c>
      <c r="AA482" s="5">
        <v>2091451.0</v>
      </c>
    </row>
    <row r="483">
      <c r="Z483" s="5">
        <v>481.0</v>
      </c>
      <c r="AA483" s="5">
        <v>2090125.0</v>
      </c>
    </row>
    <row r="484">
      <c r="Z484" s="5">
        <v>482.0</v>
      </c>
      <c r="AA484" s="5">
        <v>2089993.0</v>
      </c>
    </row>
    <row r="485">
      <c r="Z485" s="5">
        <v>483.0</v>
      </c>
      <c r="AA485" s="5">
        <v>2089704.0</v>
      </c>
    </row>
    <row r="486">
      <c r="Z486" s="5">
        <v>484.0</v>
      </c>
      <c r="AA486" s="5">
        <v>2089241.0</v>
      </c>
    </row>
    <row r="487">
      <c r="Z487" s="5">
        <v>485.0</v>
      </c>
      <c r="AA487" s="5">
        <v>2088913.0</v>
      </c>
    </row>
    <row r="488">
      <c r="Z488" s="5">
        <v>486.0</v>
      </c>
      <c r="AA488" s="5">
        <v>2088874.0</v>
      </c>
    </row>
    <row r="489">
      <c r="Z489" s="5">
        <v>487.0</v>
      </c>
      <c r="AA489" s="5">
        <v>2088596.0</v>
      </c>
    </row>
    <row r="490">
      <c r="Z490" s="5">
        <v>488.0</v>
      </c>
      <c r="AA490" s="5">
        <v>2088131.0</v>
      </c>
    </row>
    <row r="491">
      <c r="Z491" s="5">
        <v>489.0</v>
      </c>
      <c r="AA491" s="5">
        <v>2087787.0</v>
      </c>
    </row>
    <row r="492">
      <c r="Z492" s="5">
        <v>490.0</v>
      </c>
      <c r="AA492" s="5">
        <v>2087491.0</v>
      </c>
    </row>
    <row r="493">
      <c r="Z493" s="5">
        <v>491.0</v>
      </c>
      <c r="AA493" s="5">
        <v>2087186.0</v>
      </c>
    </row>
    <row r="494">
      <c r="Z494" s="5">
        <v>492.0</v>
      </c>
      <c r="AA494" s="5">
        <v>2087177.0</v>
      </c>
    </row>
    <row r="495">
      <c r="Z495" s="5">
        <v>493.0</v>
      </c>
      <c r="AA495" s="5">
        <v>2085035.0</v>
      </c>
    </row>
    <row r="496">
      <c r="Z496" s="5">
        <v>494.0</v>
      </c>
      <c r="AA496" s="5">
        <v>2084941.0</v>
      </c>
    </row>
    <row r="497">
      <c r="Z497" s="5">
        <v>495.0</v>
      </c>
      <c r="AA497" s="5">
        <v>2084574.0</v>
      </c>
    </row>
    <row r="498">
      <c r="Z498" s="5">
        <v>496.0</v>
      </c>
      <c r="AA498" s="5">
        <v>2084560.0</v>
      </c>
    </row>
    <row r="499">
      <c r="Z499" s="5">
        <v>497.0</v>
      </c>
      <c r="AA499" s="5">
        <v>2084414.0</v>
      </c>
    </row>
    <row r="500">
      <c r="Z500" s="5">
        <v>498.0</v>
      </c>
      <c r="AA500" s="5">
        <v>2082864.0</v>
      </c>
    </row>
    <row r="501">
      <c r="Z501" s="5">
        <v>499.0</v>
      </c>
      <c r="AA501" s="5">
        <v>2081901.0</v>
      </c>
    </row>
    <row r="502">
      <c r="Z502" s="5">
        <v>500.0</v>
      </c>
      <c r="AA502" s="5">
        <v>2080453.0</v>
      </c>
    </row>
    <row r="503">
      <c r="Z503" s="5">
        <v>501.0</v>
      </c>
      <c r="AA503" s="5">
        <v>2080133.0</v>
      </c>
    </row>
    <row r="504">
      <c r="Z504" s="5">
        <v>502.0</v>
      </c>
      <c r="AA504" s="5">
        <v>2079875.0</v>
      </c>
    </row>
    <row r="505">
      <c r="Z505" s="5">
        <v>503.0</v>
      </c>
      <c r="AA505" s="5">
        <v>2079815.0</v>
      </c>
    </row>
    <row r="506">
      <c r="Z506" s="5">
        <v>504.0</v>
      </c>
      <c r="AA506" s="5">
        <v>2079655.0</v>
      </c>
    </row>
    <row r="507">
      <c r="Z507" s="5">
        <v>505.0</v>
      </c>
      <c r="AA507" s="5">
        <v>2077736.0</v>
      </c>
    </row>
    <row r="508">
      <c r="Z508" s="5">
        <v>506.0</v>
      </c>
      <c r="AA508" s="5">
        <v>2076701.0</v>
      </c>
    </row>
    <row r="509">
      <c r="Z509" s="5">
        <v>507.0</v>
      </c>
      <c r="AA509" s="5">
        <v>2075738.0</v>
      </c>
    </row>
    <row r="510">
      <c r="Z510" s="5">
        <v>508.0</v>
      </c>
      <c r="AA510" s="5">
        <v>2074016.0</v>
      </c>
    </row>
    <row r="511">
      <c r="Z511" s="5">
        <v>509.0</v>
      </c>
      <c r="AA511" s="5">
        <v>2073968.0</v>
      </c>
    </row>
    <row r="512">
      <c r="Z512" s="5">
        <v>510.0</v>
      </c>
      <c r="AA512" s="5">
        <v>2073613.0</v>
      </c>
    </row>
    <row r="513">
      <c r="Z513" s="5">
        <v>511.0</v>
      </c>
      <c r="AA513" s="5">
        <v>2073460.0</v>
      </c>
    </row>
    <row r="514">
      <c r="Z514" s="5">
        <v>512.0</v>
      </c>
      <c r="AA514" s="5">
        <v>2073348.0</v>
      </c>
    </row>
    <row r="515">
      <c r="Z515" s="5">
        <v>513.0</v>
      </c>
      <c r="AA515" s="5">
        <v>2072985.0</v>
      </c>
    </row>
    <row r="516">
      <c r="Z516" s="5">
        <v>514.0</v>
      </c>
      <c r="AA516" s="5">
        <v>2072422.0</v>
      </c>
    </row>
    <row r="517">
      <c r="Z517" s="5">
        <v>515.0</v>
      </c>
      <c r="AA517" s="5">
        <v>2072117.0</v>
      </c>
    </row>
    <row r="518">
      <c r="Z518" s="5">
        <v>516.0</v>
      </c>
      <c r="AA518" s="5">
        <v>2070729.0</v>
      </c>
    </row>
    <row r="519">
      <c r="Z519" s="5">
        <v>517.0</v>
      </c>
      <c r="AA519" s="5">
        <v>2070353.0</v>
      </c>
    </row>
    <row r="520">
      <c r="Z520" s="5">
        <v>518.0</v>
      </c>
      <c r="AA520" s="5">
        <v>2070253.0</v>
      </c>
    </row>
    <row r="521">
      <c r="Z521" s="5">
        <v>519.0</v>
      </c>
      <c r="AA521" s="5">
        <v>2068741.0</v>
      </c>
    </row>
    <row r="522">
      <c r="Z522" s="5">
        <v>520.0</v>
      </c>
      <c r="AA522" s="5">
        <v>2068681.0</v>
      </c>
    </row>
    <row r="523">
      <c r="Z523" s="5">
        <v>521.0</v>
      </c>
      <c r="AA523" s="5">
        <v>2067838.0</v>
      </c>
    </row>
    <row r="524">
      <c r="Z524" s="5">
        <v>522.0</v>
      </c>
      <c r="AA524" s="5">
        <v>2067454.0</v>
      </c>
    </row>
    <row r="525">
      <c r="Z525" s="5">
        <v>523.0</v>
      </c>
      <c r="AA525" s="5">
        <v>2067283.0</v>
      </c>
    </row>
    <row r="526">
      <c r="Z526" s="5">
        <v>524.0</v>
      </c>
      <c r="AA526" s="5">
        <v>2067277.0</v>
      </c>
    </row>
    <row r="527">
      <c r="Z527" s="5">
        <v>525.0</v>
      </c>
      <c r="AA527" s="5">
        <v>2066329.0</v>
      </c>
    </row>
    <row r="528">
      <c r="Z528" s="5">
        <v>526.0</v>
      </c>
      <c r="AA528" s="5">
        <v>2065720.0</v>
      </c>
    </row>
    <row r="529">
      <c r="Z529" s="5">
        <v>527.0</v>
      </c>
      <c r="AA529" s="5">
        <v>2065681.0</v>
      </c>
    </row>
    <row r="530">
      <c r="Z530" s="5">
        <v>528.0</v>
      </c>
      <c r="AA530" s="5">
        <v>2065381.0</v>
      </c>
    </row>
    <row r="531">
      <c r="Z531" s="5">
        <v>529.0</v>
      </c>
      <c r="AA531" s="5">
        <v>2065100.0</v>
      </c>
    </row>
    <row r="532">
      <c r="Z532" s="5">
        <v>530.0</v>
      </c>
      <c r="AA532" s="5">
        <v>2065075.0</v>
      </c>
    </row>
    <row r="533">
      <c r="Z533" s="5">
        <v>531.0</v>
      </c>
      <c r="AA533" s="5">
        <v>2064610.0</v>
      </c>
    </row>
    <row r="534">
      <c r="Z534" s="5">
        <v>532.0</v>
      </c>
      <c r="AA534" s="5">
        <v>2064421.0</v>
      </c>
    </row>
    <row r="535">
      <c r="Z535" s="5">
        <v>533.0</v>
      </c>
      <c r="AA535" s="5">
        <v>2064018.0</v>
      </c>
    </row>
    <row r="536">
      <c r="Z536" s="5">
        <v>534.0</v>
      </c>
      <c r="AA536" s="5">
        <v>2064017.0</v>
      </c>
    </row>
    <row r="537">
      <c r="Z537" s="5">
        <v>535.0</v>
      </c>
      <c r="AA537" s="5">
        <v>2063511.0</v>
      </c>
    </row>
    <row r="538">
      <c r="Z538" s="5">
        <v>536.0</v>
      </c>
      <c r="AA538" s="5">
        <v>2063415.0</v>
      </c>
    </row>
    <row r="539">
      <c r="Z539" s="5">
        <v>537.0</v>
      </c>
      <c r="AA539" s="5">
        <v>2063259.0</v>
      </c>
    </row>
    <row r="540">
      <c r="Z540" s="5">
        <v>538.0</v>
      </c>
      <c r="AA540" s="5">
        <v>2063136.0</v>
      </c>
    </row>
    <row r="541">
      <c r="Z541" s="5">
        <v>539.0</v>
      </c>
      <c r="AA541" s="5">
        <v>2062189.0</v>
      </c>
    </row>
    <row r="542">
      <c r="Z542" s="5">
        <v>540.0</v>
      </c>
      <c r="AA542" s="5">
        <v>2062055.0</v>
      </c>
    </row>
    <row r="543">
      <c r="Z543" s="5">
        <v>541.0</v>
      </c>
      <c r="AA543" s="5">
        <v>2062009.0</v>
      </c>
    </row>
    <row r="544">
      <c r="Z544" s="5">
        <v>542.0</v>
      </c>
      <c r="AA544" s="5">
        <v>2061843.0</v>
      </c>
    </row>
    <row r="545">
      <c r="Z545" s="5">
        <v>543.0</v>
      </c>
      <c r="AA545" s="5">
        <v>2060946.0</v>
      </c>
    </row>
    <row r="546">
      <c r="Z546" s="5">
        <v>544.0</v>
      </c>
      <c r="AA546" s="5">
        <v>2060946.0</v>
      </c>
    </row>
    <row r="547">
      <c r="Z547" s="5">
        <v>545.0</v>
      </c>
      <c r="AA547" s="5">
        <v>2060946.0</v>
      </c>
    </row>
    <row r="548">
      <c r="Z548" s="5">
        <v>546.0</v>
      </c>
      <c r="AA548" s="5">
        <v>2060946.0</v>
      </c>
    </row>
    <row r="549">
      <c r="Z549" s="5">
        <v>547.0</v>
      </c>
      <c r="AA549" s="5">
        <v>2060946.0</v>
      </c>
    </row>
    <row r="550">
      <c r="Z550" s="5">
        <v>548.0</v>
      </c>
      <c r="AA550" s="5">
        <v>2060847.0</v>
      </c>
    </row>
    <row r="551">
      <c r="Z551" s="5">
        <v>549.0</v>
      </c>
      <c r="AA551" s="5">
        <v>2060653.0</v>
      </c>
    </row>
    <row r="552">
      <c r="Z552" s="5">
        <v>550.0</v>
      </c>
      <c r="AA552" s="5">
        <v>2059572.0</v>
      </c>
    </row>
    <row r="553">
      <c r="Z553" s="5">
        <v>551.0</v>
      </c>
      <c r="AA553" s="5">
        <v>2058913.0</v>
      </c>
    </row>
    <row r="554">
      <c r="Z554" s="5">
        <v>552.0</v>
      </c>
      <c r="AA554" s="5">
        <v>2058813.0</v>
      </c>
    </row>
    <row r="555">
      <c r="Z555" s="5">
        <v>553.0</v>
      </c>
      <c r="AA555" s="5">
        <v>2058597.0</v>
      </c>
    </row>
    <row r="556">
      <c r="Z556" s="5">
        <v>554.0</v>
      </c>
      <c r="AA556" s="5">
        <v>2058589.0</v>
      </c>
    </row>
    <row r="557">
      <c r="Z557" s="5">
        <v>555.0</v>
      </c>
      <c r="AA557" s="5">
        <v>2058404.0</v>
      </c>
    </row>
    <row r="558">
      <c r="Z558" s="5">
        <v>556.0</v>
      </c>
      <c r="AA558" s="5">
        <v>2057892.0</v>
      </c>
    </row>
    <row r="559">
      <c r="Z559" s="5">
        <v>557.0</v>
      </c>
      <c r="AA559" s="5">
        <v>2057815.0</v>
      </c>
    </row>
    <row r="560">
      <c r="Z560" s="5">
        <v>558.0</v>
      </c>
      <c r="AA560" s="5">
        <v>2057670.0</v>
      </c>
    </row>
    <row r="561">
      <c r="Z561" s="5">
        <v>559.0</v>
      </c>
      <c r="AA561" s="5">
        <v>2056891.0</v>
      </c>
    </row>
    <row r="562">
      <c r="Z562" s="5">
        <v>560.0</v>
      </c>
      <c r="AA562" s="5">
        <v>2055931.0</v>
      </c>
    </row>
    <row r="563">
      <c r="Z563" s="5">
        <v>561.0</v>
      </c>
      <c r="AA563" s="5">
        <v>2055389.0</v>
      </c>
    </row>
    <row r="564">
      <c r="Z564" s="5">
        <v>562.0</v>
      </c>
      <c r="AA564" s="5">
        <v>2055326.0</v>
      </c>
    </row>
    <row r="565">
      <c r="Z565" s="5">
        <v>563.0</v>
      </c>
      <c r="AA565" s="5">
        <v>2055068.0</v>
      </c>
    </row>
    <row r="566">
      <c r="Z566" s="5">
        <v>564.0</v>
      </c>
      <c r="AA566" s="5">
        <v>2055052.0</v>
      </c>
    </row>
    <row r="567">
      <c r="Z567" s="5">
        <v>565.0</v>
      </c>
      <c r="AA567" s="5">
        <v>2053680.0</v>
      </c>
    </row>
    <row r="568">
      <c r="Z568" s="5">
        <v>566.0</v>
      </c>
      <c r="AA568" s="5">
        <v>2052795.0</v>
      </c>
    </row>
    <row r="569">
      <c r="Z569" s="5">
        <v>567.0</v>
      </c>
      <c r="AA569" s="5">
        <v>2052789.0</v>
      </c>
    </row>
    <row r="570">
      <c r="Z570" s="5">
        <v>568.0</v>
      </c>
      <c r="AA570" s="5">
        <v>2052265.0</v>
      </c>
    </row>
    <row r="571">
      <c r="Z571" s="5">
        <v>569.0</v>
      </c>
      <c r="AA571" s="5">
        <v>2052261.0</v>
      </c>
    </row>
    <row r="572">
      <c r="Z572" s="5">
        <v>570.0</v>
      </c>
      <c r="AA572" s="5">
        <v>2051932.0</v>
      </c>
    </row>
    <row r="573">
      <c r="Z573" s="5">
        <v>571.0</v>
      </c>
      <c r="AA573" s="5">
        <v>2050440.0</v>
      </c>
    </row>
    <row r="574">
      <c r="Z574" s="5">
        <v>572.0</v>
      </c>
      <c r="AA574" s="5">
        <v>2050249.0</v>
      </c>
    </row>
    <row r="575">
      <c r="Z575" s="5">
        <v>573.0</v>
      </c>
      <c r="AA575" s="5">
        <v>2049727.0</v>
      </c>
    </row>
    <row r="576">
      <c r="Z576" s="5">
        <v>574.0</v>
      </c>
      <c r="AA576" s="5">
        <v>2049455.0</v>
      </c>
    </row>
    <row r="577">
      <c r="Z577" s="5">
        <v>575.0</v>
      </c>
      <c r="AA577" s="5">
        <v>2048546.0</v>
      </c>
    </row>
    <row r="578">
      <c r="Z578" s="5">
        <v>576.0</v>
      </c>
      <c r="AA578" s="5">
        <v>2048016.0</v>
      </c>
    </row>
    <row r="579">
      <c r="Z579" s="5">
        <v>577.0</v>
      </c>
      <c r="AA579" s="5">
        <v>2047637.0</v>
      </c>
    </row>
    <row r="580">
      <c r="Z580" s="5">
        <v>578.0</v>
      </c>
      <c r="AA580" s="5">
        <v>2045488.0</v>
      </c>
    </row>
    <row r="581">
      <c r="Z581" s="5">
        <v>579.0</v>
      </c>
      <c r="AA581" s="5">
        <v>2044039.0</v>
      </c>
    </row>
    <row r="582">
      <c r="Z582" s="5">
        <v>580.0</v>
      </c>
      <c r="AA582" s="5">
        <v>2043003.0</v>
      </c>
    </row>
    <row r="583">
      <c r="Z583" s="5">
        <v>581.0</v>
      </c>
      <c r="AA583" s="5">
        <v>2042932.0</v>
      </c>
    </row>
    <row r="584">
      <c r="Z584" s="5">
        <v>582.0</v>
      </c>
      <c r="AA584" s="5">
        <v>2042110.0</v>
      </c>
    </row>
    <row r="585">
      <c r="Z585" s="5">
        <v>583.0</v>
      </c>
      <c r="AA585" s="5">
        <v>2041763.0</v>
      </c>
    </row>
    <row r="586">
      <c r="Z586" s="5">
        <v>584.0</v>
      </c>
      <c r="AA586" s="5">
        <v>2040526.0</v>
      </c>
    </row>
    <row r="587">
      <c r="Z587" s="5">
        <v>585.0</v>
      </c>
      <c r="AA587" s="5">
        <v>2040377.0</v>
      </c>
    </row>
    <row r="588">
      <c r="Z588" s="5">
        <v>586.0</v>
      </c>
      <c r="AA588" s="5">
        <v>2039838.0</v>
      </c>
    </row>
    <row r="589">
      <c r="Z589" s="5">
        <v>587.0</v>
      </c>
      <c r="AA589" s="5">
        <v>2039263.0</v>
      </c>
    </row>
    <row r="590">
      <c r="Z590" s="5">
        <v>588.0</v>
      </c>
      <c r="AA590" s="5">
        <v>2038126.0</v>
      </c>
    </row>
    <row r="591">
      <c r="Z591" s="5">
        <v>589.0</v>
      </c>
      <c r="AA591" s="5">
        <v>2037756.0</v>
      </c>
    </row>
    <row r="592">
      <c r="Z592" s="5">
        <v>590.0</v>
      </c>
      <c r="AA592" s="5">
        <v>2037439.0</v>
      </c>
    </row>
    <row r="593">
      <c r="Z593" s="5">
        <v>591.0</v>
      </c>
      <c r="AA593" s="5">
        <v>2036908.0</v>
      </c>
    </row>
    <row r="594">
      <c r="Z594" s="5">
        <v>592.0</v>
      </c>
      <c r="AA594" s="5">
        <v>2036907.0</v>
      </c>
    </row>
    <row r="595">
      <c r="Z595" s="5">
        <v>593.0</v>
      </c>
      <c r="AA595" s="5">
        <v>2036436.0</v>
      </c>
    </row>
    <row r="596">
      <c r="Z596" s="5">
        <v>594.0</v>
      </c>
      <c r="AA596" s="5">
        <v>2036264.0</v>
      </c>
    </row>
    <row r="597">
      <c r="Z597" s="5">
        <v>595.0</v>
      </c>
      <c r="AA597" s="5">
        <v>2035851.0</v>
      </c>
    </row>
    <row r="598">
      <c r="Z598" s="5">
        <v>596.0</v>
      </c>
      <c r="AA598" s="5">
        <v>2035654.0</v>
      </c>
    </row>
    <row r="599">
      <c r="Z599" s="5">
        <v>597.0</v>
      </c>
      <c r="AA599" s="5">
        <v>2034283.0</v>
      </c>
    </row>
    <row r="600">
      <c r="Z600" s="5">
        <v>598.0</v>
      </c>
      <c r="AA600" s="5">
        <v>2034200.0</v>
      </c>
    </row>
    <row r="601">
      <c r="Z601" s="5">
        <v>599.0</v>
      </c>
      <c r="AA601" s="5">
        <v>2033900.0</v>
      </c>
    </row>
    <row r="602">
      <c r="Z602" s="5">
        <v>600.0</v>
      </c>
      <c r="AA602" s="5">
        <v>2033388.0</v>
      </c>
    </row>
    <row r="603">
      <c r="Z603" s="5">
        <v>601.0</v>
      </c>
      <c r="AA603" s="5">
        <v>2032900.0</v>
      </c>
    </row>
    <row r="604">
      <c r="Z604" s="5">
        <v>602.0</v>
      </c>
      <c r="AA604" s="5">
        <v>2032179.0</v>
      </c>
    </row>
    <row r="605">
      <c r="Z605" s="5">
        <v>603.0</v>
      </c>
      <c r="AA605" s="5">
        <v>2030763.0</v>
      </c>
    </row>
    <row r="606">
      <c r="Z606" s="5">
        <v>604.0</v>
      </c>
      <c r="AA606" s="5">
        <v>2030379.0</v>
      </c>
    </row>
    <row r="607">
      <c r="Z607" s="5">
        <v>605.0</v>
      </c>
      <c r="AA607" s="5">
        <v>2030038.0</v>
      </c>
    </row>
    <row r="608">
      <c r="Z608" s="5">
        <v>606.0</v>
      </c>
      <c r="AA608" s="5">
        <v>2029813.0</v>
      </c>
    </row>
    <row r="609">
      <c r="Z609" s="5">
        <v>607.0</v>
      </c>
      <c r="AA609" s="5">
        <v>2025668.0</v>
      </c>
    </row>
    <row r="610">
      <c r="Z610" s="5">
        <v>608.0</v>
      </c>
      <c r="AA610" s="5">
        <v>2025419.0</v>
      </c>
    </row>
    <row r="611">
      <c r="Z611" s="5">
        <v>609.0</v>
      </c>
      <c r="AA611" s="5">
        <v>2025206.0</v>
      </c>
    </row>
    <row r="612">
      <c r="Z612" s="5">
        <v>610.0</v>
      </c>
      <c r="AA612" s="5">
        <v>2023440.0</v>
      </c>
    </row>
    <row r="613">
      <c r="Z613" s="5">
        <v>611.0</v>
      </c>
      <c r="AA613" s="5">
        <v>2021961.0</v>
      </c>
    </row>
    <row r="614">
      <c r="Z614" s="5">
        <v>612.0</v>
      </c>
      <c r="AA614" s="5">
        <v>2020890.0</v>
      </c>
    </row>
    <row r="615">
      <c r="Z615" s="5">
        <v>613.0</v>
      </c>
      <c r="AA615" s="5">
        <v>2020873.0</v>
      </c>
    </row>
    <row r="616">
      <c r="Z616" s="5">
        <v>614.0</v>
      </c>
      <c r="AA616" s="5">
        <v>2019897.0</v>
      </c>
    </row>
    <row r="617">
      <c r="Z617" s="5">
        <v>615.0</v>
      </c>
      <c r="AA617" s="5">
        <v>2019831.0</v>
      </c>
    </row>
    <row r="618">
      <c r="Z618" s="5">
        <v>616.0</v>
      </c>
      <c r="AA618" s="5">
        <v>2018737.0</v>
      </c>
    </row>
    <row r="619">
      <c r="Z619" s="5">
        <v>617.0</v>
      </c>
      <c r="AA619" s="5">
        <v>2018393.0</v>
      </c>
    </row>
    <row r="620">
      <c r="Z620" s="5">
        <v>618.0</v>
      </c>
      <c r="AA620" s="5">
        <v>2018040.0</v>
      </c>
    </row>
    <row r="621">
      <c r="Z621" s="5">
        <v>619.0</v>
      </c>
      <c r="AA621" s="5">
        <v>2017082.0</v>
      </c>
    </row>
    <row r="622">
      <c r="Z622" s="5">
        <v>620.0</v>
      </c>
      <c r="AA622" s="5">
        <v>2016373.0</v>
      </c>
    </row>
    <row r="623">
      <c r="Z623" s="5">
        <v>621.0</v>
      </c>
      <c r="AA623" s="5">
        <v>2016320.0</v>
      </c>
    </row>
    <row r="624">
      <c r="Z624" s="5">
        <v>622.0</v>
      </c>
      <c r="AA624" s="5">
        <v>2016247.0</v>
      </c>
    </row>
    <row r="625">
      <c r="Z625" s="5">
        <v>623.0</v>
      </c>
      <c r="AA625" s="5">
        <v>2013631.0</v>
      </c>
    </row>
    <row r="626">
      <c r="Z626" s="5">
        <v>624.0</v>
      </c>
      <c r="AA626" s="5">
        <v>2013274.0</v>
      </c>
    </row>
    <row r="627">
      <c r="Z627" s="5">
        <v>625.0</v>
      </c>
      <c r="AA627" s="5">
        <v>2012858.0</v>
      </c>
    </row>
    <row r="628">
      <c r="Z628" s="5">
        <v>626.0</v>
      </c>
      <c r="AA628" s="5">
        <v>2012659.0</v>
      </c>
    </row>
    <row r="629">
      <c r="Z629" s="5">
        <v>627.0</v>
      </c>
      <c r="AA629" s="5">
        <v>2012593.0</v>
      </c>
    </row>
    <row r="630">
      <c r="Z630" s="5">
        <v>628.0</v>
      </c>
      <c r="AA630" s="5">
        <v>2012232.0</v>
      </c>
    </row>
    <row r="631">
      <c r="Z631" s="5">
        <v>629.0</v>
      </c>
      <c r="AA631" s="5">
        <v>2012110.0</v>
      </c>
    </row>
    <row r="632">
      <c r="Z632" s="5">
        <v>630.0</v>
      </c>
      <c r="AA632" s="5">
        <v>2011989.0</v>
      </c>
    </row>
    <row r="633">
      <c r="Z633" s="5">
        <v>631.0</v>
      </c>
      <c r="AA633" s="5">
        <v>2011484.0</v>
      </c>
    </row>
    <row r="634">
      <c r="Z634" s="5">
        <v>632.0</v>
      </c>
      <c r="AA634" s="5">
        <v>2011047.0</v>
      </c>
    </row>
    <row r="635">
      <c r="Z635" s="5">
        <v>633.0</v>
      </c>
      <c r="AA635" s="5">
        <v>2010902.0</v>
      </c>
    </row>
    <row r="636">
      <c r="Z636" s="5">
        <v>634.0</v>
      </c>
      <c r="AA636" s="5">
        <v>2010828.0</v>
      </c>
    </row>
    <row r="637">
      <c r="Z637" s="5">
        <v>635.0</v>
      </c>
      <c r="AA637" s="5">
        <v>2009752.0</v>
      </c>
    </row>
    <row r="638">
      <c r="Z638" s="5">
        <v>636.0</v>
      </c>
      <c r="AA638" s="5">
        <v>2008980.0</v>
      </c>
    </row>
    <row r="639">
      <c r="Z639" s="5">
        <v>637.0</v>
      </c>
      <c r="AA639" s="5">
        <v>2007506.0</v>
      </c>
    </row>
    <row r="640">
      <c r="Z640" s="5">
        <v>638.0</v>
      </c>
      <c r="AA640" s="5">
        <v>2007158.0</v>
      </c>
    </row>
    <row r="641">
      <c r="Z641" s="5">
        <v>639.0</v>
      </c>
      <c r="AA641" s="5">
        <v>2006467.0</v>
      </c>
    </row>
    <row r="642">
      <c r="Z642" s="5">
        <v>640.0</v>
      </c>
      <c r="AA642" s="5">
        <v>2006116.0</v>
      </c>
    </row>
    <row r="643">
      <c r="Z643" s="5">
        <v>641.0</v>
      </c>
      <c r="AA643" s="5">
        <v>2005914.0</v>
      </c>
    </row>
    <row r="644">
      <c r="Z644" s="5">
        <v>642.0</v>
      </c>
      <c r="AA644" s="5">
        <v>2005487.0</v>
      </c>
    </row>
    <row r="645">
      <c r="Z645" s="5">
        <v>643.0</v>
      </c>
      <c r="AA645" s="5">
        <v>2005317.0</v>
      </c>
    </row>
    <row r="646">
      <c r="Z646" s="5">
        <v>644.0</v>
      </c>
      <c r="AA646" s="5">
        <v>2003416.0</v>
      </c>
    </row>
    <row r="647">
      <c r="Z647" s="5">
        <v>645.0</v>
      </c>
      <c r="AA647" s="5">
        <v>2003144.0</v>
      </c>
    </row>
    <row r="648">
      <c r="Z648" s="5">
        <v>646.0</v>
      </c>
      <c r="AA648" s="5">
        <v>2002108.0</v>
      </c>
    </row>
    <row r="649">
      <c r="Z649" s="5">
        <v>647.0</v>
      </c>
      <c r="AA649" s="5">
        <v>2001999.0</v>
      </c>
    </row>
    <row r="650">
      <c r="Z650" s="5">
        <v>648.0</v>
      </c>
      <c r="AA650" s="5">
        <v>2001854.0</v>
      </c>
    </row>
    <row r="651">
      <c r="Z651" s="5">
        <v>649.0</v>
      </c>
      <c r="AA651" s="5">
        <v>2001728.0</v>
      </c>
    </row>
    <row r="652">
      <c r="Z652" s="5">
        <v>650.0</v>
      </c>
      <c r="AA652" s="5">
        <v>2001574.0</v>
      </c>
    </row>
    <row r="653">
      <c r="Z653" s="5">
        <v>651.0</v>
      </c>
      <c r="AA653" s="5">
        <v>2000449.0</v>
      </c>
    </row>
    <row r="654">
      <c r="Z654" s="5">
        <v>652.0</v>
      </c>
      <c r="AA654" s="5">
        <v>2000330.0</v>
      </c>
    </row>
    <row r="655">
      <c r="Z655" s="5">
        <v>653.0</v>
      </c>
      <c r="AA655" s="5">
        <v>2000254.0</v>
      </c>
    </row>
    <row r="656">
      <c r="Z656" s="5">
        <v>654.0</v>
      </c>
      <c r="AA656" s="5">
        <v>2000218.0</v>
      </c>
    </row>
    <row r="657">
      <c r="Z657" s="5">
        <v>655.0</v>
      </c>
      <c r="AA657" s="5">
        <v>1999874.0</v>
      </c>
    </row>
    <row r="658">
      <c r="Z658" s="5">
        <v>656.0</v>
      </c>
      <c r="AA658" s="5">
        <v>1999243.0</v>
      </c>
    </row>
    <row r="659">
      <c r="Z659" s="5">
        <v>657.0</v>
      </c>
      <c r="AA659" s="5">
        <v>1999136.0</v>
      </c>
    </row>
    <row r="660">
      <c r="Z660" s="5">
        <v>658.0</v>
      </c>
      <c r="AA660" s="5">
        <v>1998995.0</v>
      </c>
    </row>
    <row r="661">
      <c r="Z661" s="5">
        <v>659.0</v>
      </c>
      <c r="AA661" s="5">
        <v>1998651.0</v>
      </c>
    </row>
    <row r="662">
      <c r="Z662" s="5">
        <v>660.0</v>
      </c>
      <c r="AA662" s="5">
        <v>1998463.0</v>
      </c>
    </row>
    <row r="663">
      <c r="Z663" s="5">
        <v>661.0</v>
      </c>
      <c r="AA663" s="5">
        <v>1998245.0</v>
      </c>
    </row>
    <row r="664">
      <c r="Z664" s="5">
        <v>662.0</v>
      </c>
      <c r="AA664" s="5">
        <v>1998245.0</v>
      </c>
    </row>
    <row r="665">
      <c r="Z665" s="5">
        <v>663.0</v>
      </c>
      <c r="AA665" s="5">
        <v>1997775.0</v>
      </c>
    </row>
    <row r="666">
      <c r="Z666" s="5">
        <v>664.0</v>
      </c>
      <c r="AA666" s="5">
        <v>1997694.0</v>
      </c>
    </row>
    <row r="667">
      <c r="Z667" s="5">
        <v>665.0</v>
      </c>
      <c r="AA667" s="5">
        <v>1997675.0</v>
      </c>
    </row>
    <row r="668">
      <c r="Z668" s="5">
        <v>666.0</v>
      </c>
      <c r="AA668" s="5">
        <v>1997675.0</v>
      </c>
    </row>
    <row r="669">
      <c r="Z669" s="5">
        <v>667.0</v>
      </c>
      <c r="AA669" s="5">
        <v>1997675.0</v>
      </c>
    </row>
    <row r="670">
      <c r="Z670" s="5">
        <v>668.0</v>
      </c>
      <c r="AA670" s="5">
        <v>1997390.0</v>
      </c>
    </row>
    <row r="671">
      <c r="Z671" s="5">
        <v>669.0</v>
      </c>
      <c r="AA671" s="5">
        <v>1996824.0</v>
      </c>
    </row>
    <row r="672">
      <c r="Z672" s="5">
        <v>670.0</v>
      </c>
      <c r="AA672" s="5">
        <v>1996404.0</v>
      </c>
    </row>
    <row r="673">
      <c r="Z673" s="5">
        <v>671.0</v>
      </c>
      <c r="AA673" s="5">
        <v>1996360.0</v>
      </c>
    </row>
    <row r="674">
      <c r="Z674" s="5">
        <v>672.0</v>
      </c>
      <c r="AA674" s="5">
        <v>1996349.0</v>
      </c>
    </row>
    <row r="675">
      <c r="Z675" s="5">
        <v>673.0</v>
      </c>
      <c r="AA675" s="5">
        <v>1996242.0</v>
      </c>
    </row>
    <row r="676">
      <c r="Z676" s="5">
        <v>674.0</v>
      </c>
      <c r="AA676" s="5">
        <v>1996157.0</v>
      </c>
    </row>
    <row r="677">
      <c r="Z677" s="5">
        <v>675.0</v>
      </c>
      <c r="AA677" s="5">
        <v>1995966.0</v>
      </c>
    </row>
    <row r="678">
      <c r="Z678" s="5">
        <v>676.0</v>
      </c>
      <c r="AA678" s="5">
        <v>1995532.0</v>
      </c>
    </row>
    <row r="679">
      <c r="Z679" s="5">
        <v>677.0</v>
      </c>
      <c r="AA679" s="5">
        <v>1995391.0</v>
      </c>
    </row>
    <row r="680">
      <c r="Z680" s="5">
        <v>678.0</v>
      </c>
      <c r="AA680" s="5">
        <v>1994935.0</v>
      </c>
    </row>
    <row r="681">
      <c r="Z681" s="5">
        <v>679.0</v>
      </c>
      <c r="AA681" s="5">
        <v>1994736.0</v>
      </c>
    </row>
    <row r="682">
      <c r="Z682" s="5">
        <v>680.0</v>
      </c>
      <c r="AA682" s="5">
        <v>1994702.0</v>
      </c>
    </row>
    <row r="683">
      <c r="Z683" s="5">
        <v>681.0</v>
      </c>
      <c r="AA683" s="5">
        <v>1994031.0</v>
      </c>
    </row>
    <row r="684">
      <c r="Z684" s="5">
        <v>682.0</v>
      </c>
      <c r="AA684" s="5">
        <v>1993880.0</v>
      </c>
    </row>
    <row r="685">
      <c r="Z685" s="5">
        <v>683.0</v>
      </c>
      <c r="AA685" s="5">
        <v>1993183.0</v>
      </c>
    </row>
    <row r="686">
      <c r="Z686" s="5">
        <v>684.0</v>
      </c>
      <c r="AA686" s="5">
        <v>1992782.0</v>
      </c>
    </row>
    <row r="687">
      <c r="Z687" s="5">
        <v>685.0</v>
      </c>
      <c r="AA687" s="5">
        <v>1992497.0</v>
      </c>
    </row>
    <row r="688">
      <c r="Z688" s="5">
        <v>686.0</v>
      </c>
      <c r="AA688" s="5">
        <v>1992410.0</v>
      </c>
    </row>
    <row r="689">
      <c r="Z689" s="5">
        <v>687.0</v>
      </c>
      <c r="AA689" s="5">
        <v>1991858.0</v>
      </c>
    </row>
    <row r="690">
      <c r="Z690" s="5">
        <v>688.0</v>
      </c>
      <c r="AA690" s="5">
        <v>1989972.0</v>
      </c>
    </row>
    <row r="691">
      <c r="Z691" s="5">
        <v>689.0</v>
      </c>
      <c r="AA691" s="5">
        <v>1989420.0</v>
      </c>
    </row>
    <row r="692">
      <c r="Z692" s="5">
        <v>690.0</v>
      </c>
      <c r="AA692" s="5">
        <v>1988811.0</v>
      </c>
    </row>
    <row r="693">
      <c r="Z693" s="5">
        <v>691.0</v>
      </c>
      <c r="AA693" s="5">
        <v>1988802.0</v>
      </c>
    </row>
    <row r="694">
      <c r="Z694" s="5">
        <v>692.0</v>
      </c>
      <c r="AA694" s="5">
        <v>1987325.0</v>
      </c>
    </row>
    <row r="695">
      <c r="Z695" s="5">
        <v>693.0</v>
      </c>
      <c r="AA695" s="5">
        <v>1986062.0</v>
      </c>
    </row>
    <row r="696">
      <c r="Z696" s="5">
        <v>694.0</v>
      </c>
      <c r="AA696" s="5">
        <v>1984865.0</v>
      </c>
    </row>
    <row r="697">
      <c r="Z697" s="5">
        <v>695.0</v>
      </c>
      <c r="AA697" s="5">
        <v>1983706.0</v>
      </c>
    </row>
    <row r="698">
      <c r="Z698" s="5">
        <v>696.0</v>
      </c>
      <c r="AA698" s="5">
        <v>1981403.0</v>
      </c>
    </row>
    <row r="699">
      <c r="Z699" s="5">
        <v>697.0</v>
      </c>
      <c r="AA699" s="5">
        <v>1981062.0</v>
      </c>
    </row>
    <row r="700">
      <c r="Z700" s="5">
        <v>698.0</v>
      </c>
      <c r="AA700" s="5">
        <v>1980028.0</v>
      </c>
    </row>
    <row r="701">
      <c r="Z701" s="5">
        <v>699.0</v>
      </c>
      <c r="AA701" s="5">
        <v>1979557.0</v>
      </c>
    </row>
    <row r="702">
      <c r="Z702" s="5">
        <v>700.0</v>
      </c>
      <c r="AA702" s="5">
        <v>1979516.0</v>
      </c>
    </row>
    <row r="703">
      <c r="Z703" s="5">
        <v>701.0</v>
      </c>
      <c r="AA703" s="5">
        <v>1979462.0</v>
      </c>
    </row>
    <row r="704">
      <c r="Z704" s="5">
        <v>702.0</v>
      </c>
      <c r="AA704" s="5">
        <v>1979275.0</v>
      </c>
    </row>
    <row r="705">
      <c r="Z705" s="5">
        <v>703.0</v>
      </c>
      <c r="AA705" s="5">
        <v>1979259.0</v>
      </c>
    </row>
    <row r="706">
      <c r="Z706" s="5">
        <v>704.0</v>
      </c>
      <c r="AA706" s="5">
        <v>1978959.0</v>
      </c>
    </row>
    <row r="707">
      <c r="Z707" s="5">
        <v>705.0</v>
      </c>
      <c r="AA707" s="5">
        <v>1977084.0</v>
      </c>
    </row>
    <row r="708">
      <c r="Z708" s="5">
        <v>706.0</v>
      </c>
      <c r="AA708" s="5">
        <v>1976671.0</v>
      </c>
    </row>
    <row r="709">
      <c r="Z709" s="5">
        <v>707.0</v>
      </c>
      <c r="AA709" s="5">
        <v>1976025.0</v>
      </c>
    </row>
    <row r="710">
      <c r="Z710" s="5">
        <v>708.0</v>
      </c>
      <c r="AA710" s="5">
        <v>1975779.0</v>
      </c>
    </row>
    <row r="711">
      <c r="Z711" s="5">
        <v>709.0</v>
      </c>
      <c r="AA711" s="5">
        <v>1975459.0</v>
      </c>
    </row>
    <row r="712">
      <c r="Z712" s="5">
        <v>710.0</v>
      </c>
      <c r="AA712" s="5">
        <v>1974390.0</v>
      </c>
    </row>
    <row r="713">
      <c r="Z713" s="5">
        <v>711.0</v>
      </c>
      <c r="AA713" s="5">
        <v>1974321.0</v>
      </c>
    </row>
    <row r="714">
      <c r="Z714" s="5">
        <v>712.0</v>
      </c>
      <c r="AA714" s="5">
        <v>1973116.0</v>
      </c>
    </row>
    <row r="715">
      <c r="Z715" s="5">
        <v>713.0</v>
      </c>
      <c r="AA715" s="5">
        <v>1973092.0</v>
      </c>
    </row>
    <row r="716">
      <c r="Z716" s="5">
        <v>714.0</v>
      </c>
      <c r="AA716" s="5">
        <v>1972240.0</v>
      </c>
    </row>
    <row r="717">
      <c r="Z717" s="5">
        <v>715.0</v>
      </c>
      <c r="AA717" s="5">
        <v>1971398.0</v>
      </c>
    </row>
    <row r="718">
      <c r="Z718" s="5">
        <v>716.0</v>
      </c>
      <c r="AA718" s="5">
        <v>1971197.0</v>
      </c>
    </row>
    <row r="719">
      <c r="Z719" s="5">
        <v>717.0</v>
      </c>
      <c r="AA719" s="5">
        <v>1970433.0</v>
      </c>
    </row>
    <row r="720">
      <c r="Z720" s="5">
        <v>718.0</v>
      </c>
      <c r="AA720" s="5">
        <v>1969634.0</v>
      </c>
    </row>
    <row r="721">
      <c r="Z721" s="5">
        <v>719.0</v>
      </c>
      <c r="AA721" s="5">
        <v>1967270.0</v>
      </c>
    </row>
    <row r="722">
      <c r="Z722" s="5">
        <v>720.0</v>
      </c>
      <c r="AA722" s="5">
        <v>1966917.0</v>
      </c>
    </row>
    <row r="723">
      <c r="Z723" s="5">
        <v>721.0</v>
      </c>
      <c r="AA723" s="5">
        <v>1966306.0</v>
      </c>
    </row>
    <row r="724">
      <c r="Z724" s="5">
        <v>722.0</v>
      </c>
      <c r="AA724" s="5">
        <v>1964476.0</v>
      </c>
    </row>
    <row r="725">
      <c r="Z725" s="5">
        <v>723.0</v>
      </c>
      <c r="AA725" s="5">
        <v>1964346.0</v>
      </c>
    </row>
    <row r="726">
      <c r="Z726" s="5">
        <v>724.0</v>
      </c>
      <c r="AA726" s="5">
        <v>1963176.0</v>
      </c>
    </row>
    <row r="727">
      <c r="Z727" s="5">
        <v>725.0</v>
      </c>
      <c r="AA727" s="5">
        <v>1962497.0</v>
      </c>
    </row>
    <row r="728">
      <c r="Z728" s="5">
        <v>726.0</v>
      </c>
      <c r="AA728" s="5">
        <v>1962237.0</v>
      </c>
    </row>
    <row r="729">
      <c r="Z729" s="5">
        <v>727.0</v>
      </c>
      <c r="AA729" s="5">
        <v>1962214.0</v>
      </c>
    </row>
    <row r="730">
      <c r="Z730" s="5">
        <v>728.0</v>
      </c>
      <c r="AA730" s="5">
        <v>1962161.0</v>
      </c>
    </row>
    <row r="731">
      <c r="Z731" s="5">
        <v>729.0</v>
      </c>
      <c r="AA731" s="5">
        <v>1962101.0</v>
      </c>
    </row>
    <row r="732">
      <c r="Z732" s="5">
        <v>730.0</v>
      </c>
      <c r="AA732" s="5">
        <v>1960735.0</v>
      </c>
    </row>
    <row r="733">
      <c r="Z733" s="5">
        <v>731.0</v>
      </c>
      <c r="AA733" s="5">
        <v>1959438.0</v>
      </c>
    </row>
    <row r="734">
      <c r="Z734" s="5">
        <v>732.0</v>
      </c>
      <c r="AA734" s="5">
        <v>1959161.0</v>
      </c>
    </row>
    <row r="735">
      <c r="Z735" s="5">
        <v>733.0</v>
      </c>
      <c r="AA735" s="5">
        <v>1958536.0</v>
      </c>
    </row>
    <row r="736">
      <c r="Z736" s="5">
        <v>734.0</v>
      </c>
      <c r="AA736" s="5">
        <v>1956253.0</v>
      </c>
    </row>
    <row r="737">
      <c r="Z737" s="5">
        <v>735.0</v>
      </c>
      <c r="AA737" s="5">
        <v>1955948.0</v>
      </c>
    </row>
    <row r="738">
      <c r="Z738" s="5">
        <v>736.0</v>
      </c>
      <c r="AA738" s="5">
        <v>1955729.0</v>
      </c>
    </row>
    <row r="739">
      <c r="Z739" s="5">
        <v>737.0</v>
      </c>
      <c r="AA739" s="5">
        <v>1954981.0</v>
      </c>
    </row>
    <row r="740">
      <c r="Z740" s="5">
        <v>738.0</v>
      </c>
      <c r="AA740" s="5">
        <v>1954429.0</v>
      </c>
    </row>
    <row r="741">
      <c r="Z741" s="5">
        <v>739.0</v>
      </c>
      <c r="AA741" s="5">
        <v>1954117.0</v>
      </c>
    </row>
    <row r="742">
      <c r="Z742" s="5">
        <v>740.0</v>
      </c>
      <c r="AA742" s="5">
        <v>1953895.0</v>
      </c>
    </row>
    <row r="743">
      <c r="Z743" s="5">
        <v>741.0</v>
      </c>
      <c r="AA743" s="5">
        <v>1953366.0</v>
      </c>
    </row>
    <row r="744">
      <c r="Z744" s="5">
        <v>742.0</v>
      </c>
      <c r="AA744" s="5">
        <v>1953109.0</v>
      </c>
    </row>
    <row r="745">
      <c r="Z745" s="5">
        <v>743.0</v>
      </c>
      <c r="AA745" s="5">
        <v>1952891.0</v>
      </c>
    </row>
    <row r="746">
      <c r="Z746" s="5">
        <v>744.0</v>
      </c>
      <c r="AA746" s="5">
        <v>1952020.0</v>
      </c>
    </row>
    <row r="747">
      <c r="Z747" s="5">
        <v>745.0</v>
      </c>
      <c r="AA747" s="5">
        <v>1948816.0</v>
      </c>
    </row>
    <row r="748">
      <c r="Z748" s="5">
        <v>746.0</v>
      </c>
      <c r="AA748" s="5">
        <v>1948744.0</v>
      </c>
    </row>
    <row r="749">
      <c r="Z749" s="5">
        <v>747.0</v>
      </c>
      <c r="AA749" s="5">
        <v>1948290.0</v>
      </c>
    </row>
    <row r="750">
      <c r="Z750" s="5">
        <v>748.0</v>
      </c>
      <c r="AA750" s="5">
        <v>1948073.0</v>
      </c>
    </row>
    <row r="751">
      <c r="Z751" s="5">
        <v>749.0</v>
      </c>
      <c r="AA751" s="5">
        <v>1947449.0</v>
      </c>
    </row>
    <row r="752">
      <c r="Z752" s="5">
        <v>750.0</v>
      </c>
      <c r="AA752" s="5">
        <v>1947283.0</v>
      </c>
    </row>
    <row r="753">
      <c r="Z753" s="5">
        <v>751.0</v>
      </c>
      <c r="AA753" s="5">
        <v>1947137.0</v>
      </c>
    </row>
    <row r="754">
      <c r="Z754" s="5">
        <v>752.0</v>
      </c>
      <c r="AA754" s="5">
        <v>1946852.0</v>
      </c>
    </row>
    <row r="755">
      <c r="Z755" s="5">
        <v>753.0</v>
      </c>
      <c r="AA755" s="5">
        <v>1946506.0</v>
      </c>
    </row>
    <row r="756">
      <c r="Z756" s="5">
        <v>754.0</v>
      </c>
      <c r="AA756" s="5">
        <v>1945108.0</v>
      </c>
    </row>
    <row r="757">
      <c r="Z757" s="5">
        <v>755.0</v>
      </c>
      <c r="AA757" s="5">
        <v>1944495.0</v>
      </c>
    </row>
    <row r="758">
      <c r="Z758" s="5">
        <v>756.0</v>
      </c>
      <c r="AA758" s="5">
        <v>1941738.0</v>
      </c>
    </row>
    <row r="759">
      <c r="Z759" s="5">
        <v>757.0</v>
      </c>
      <c r="AA759" s="5">
        <v>1940682.0</v>
      </c>
    </row>
    <row r="760">
      <c r="Z760" s="5">
        <v>758.0</v>
      </c>
      <c r="AA760" s="5">
        <v>1940640.0</v>
      </c>
    </row>
    <row r="761">
      <c r="Z761" s="5">
        <v>759.0</v>
      </c>
      <c r="AA761" s="5">
        <v>1940585.0</v>
      </c>
    </row>
    <row r="762">
      <c r="Z762" s="5">
        <v>760.0</v>
      </c>
      <c r="AA762" s="5">
        <v>1939799.0</v>
      </c>
    </row>
    <row r="763">
      <c r="Z763" s="5">
        <v>761.0</v>
      </c>
      <c r="AA763" s="5">
        <v>1939694.0</v>
      </c>
    </row>
    <row r="764">
      <c r="Z764" s="5">
        <v>762.0</v>
      </c>
      <c r="AA764" s="5">
        <v>1938122.0</v>
      </c>
    </row>
    <row r="765">
      <c r="Z765" s="5">
        <v>763.0</v>
      </c>
      <c r="AA765" s="5">
        <v>1937071.0</v>
      </c>
    </row>
    <row r="766">
      <c r="Z766" s="5">
        <v>764.0</v>
      </c>
      <c r="AA766" s="5">
        <v>1936088.0</v>
      </c>
    </row>
    <row r="767">
      <c r="Z767" s="5">
        <v>765.0</v>
      </c>
      <c r="AA767" s="5">
        <v>1934703.0</v>
      </c>
    </row>
    <row r="768">
      <c r="Z768" s="5">
        <v>766.0</v>
      </c>
      <c r="AA768" s="5">
        <v>1933929.0</v>
      </c>
    </row>
    <row r="769">
      <c r="Z769" s="5">
        <v>767.0</v>
      </c>
      <c r="AA769" s="5">
        <v>1931588.0</v>
      </c>
    </row>
    <row r="770">
      <c r="Z770" s="5">
        <v>768.0</v>
      </c>
      <c r="AA770" s="5">
        <v>1931064.0</v>
      </c>
    </row>
    <row r="771">
      <c r="Z771" s="5">
        <v>769.0</v>
      </c>
      <c r="AA771" s="5">
        <v>1929973.0</v>
      </c>
    </row>
    <row r="772">
      <c r="Z772" s="5">
        <v>770.0</v>
      </c>
      <c r="AA772" s="5">
        <v>1929109.0</v>
      </c>
    </row>
    <row r="773">
      <c r="Z773" s="5">
        <v>771.0</v>
      </c>
      <c r="AA773" s="5">
        <v>1928916.0</v>
      </c>
    </row>
    <row r="774">
      <c r="Z774" s="5">
        <v>772.0</v>
      </c>
      <c r="AA774" s="5">
        <v>1927937.0</v>
      </c>
    </row>
    <row r="775">
      <c r="Z775" s="5">
        <v>773.0</v>
      </c>
      <c r="AA775" s="5">
        <v>1927537.0</v>
      </c>
    </row>
    <row r="776">
      <c r="Z776" s="5">
        <v>774.0</v>
      </c>
      <c r="AA776" s="5">
        <v>1925068.0</v>
      </c>
    </row>
    <row r="777">
      <c r="Z777" s="5">
        <v>775.0</v>
      </c>
      <c r="AA777" s="5">
        <v>1923657.0</v>
      </c>
    </row>
    <row r="778">
      <c r="Z778" s="5">
        <v>776.0</v>
      </c>
      <c r="AA778" s="5">
        <v>1920925.0</v>
      </c>
    </row>
    <row r="779">
      <c r="Z779" s="5">
        <v>777.0</v>
      </c>
      <c r="AA779" s="5">
        <v>1919551.0</v>
      </c>
    </row>
    <row r="780">
      <c r="Z780" s="5">
        <v>778.0</v>
      </c>
      <c r="AA780" s="5">
        <v>1919067.0</v>
      </c>
    </row>
    <row r="781">
      <c r="Z781" s="5">
        <v>779.0</v>
      </c>
      <c r="AA781" s="5">
        <v>1916476.0</v>
      </c>
    </row>
    <row r="782">
      <c r="Z782" s="5">
        <v>780.0</v>
      </c>
      <c r="AA782" s="5">
        <v>1916466.0</v>
      </c>
    </row>
    <row r="783">
      <c r="Z783" s="5">
        <v>781.0</v>
      </c>
      <c r="AA783" s="5">
        <v>1916371.0</v>
      </c>
    </row>
    <row r="784">
      <c r="Z784" s="5">
        <v>782.0</v>
      </c>
      <c r="AA784" s="5">
        <v>1916335.0</v>
      </c>
    </row>
    <row r="785">
      <c r="Z785" s="5">
        <v>783.0</v>
      </c>
      <c r="AA785" s="5">
        <v>1916277.0</v>
      </c>
    </row>
    <row r="786">
      <c r="Z786" s="5">
        <v>784.0</v>
      </c>
      <c r="AA786" s="5">
        <v>1915340.0</v>
      </c>
    </row>
    <row r="787">
      <c r="Z787" s="5">
        <v>785.0</v>
      </c>
      <c r="AA787" s="5">
        <v>1915270.0</v>
      </c>
    </row>
    <row r="788">
      <c r="Z788" s="5">
        <v>786.0</v>
      </c>
      <c r="AA788" s="5">
        <v>1914421.0</v>
      </c>
    </row>
    <row r="789">
      <c r="Z789" s="5">
        <v>787.0</v>
      </c>
      <c r="AA789" s="5">
        <v>1914314.0</v>
      </c>
    </row>
    <row r="790">
      <c r="Z790" s="5">
        <v>788.0</v>
      </c>
      <c r="AA790" s="5">
        <v>1913338.0</v>
      </c>
    </row>
    <row r="791">
      <c r="Z791" s="5">
        <v>789.0</v>
      </c>
      <c r="AA791" s="5">
        <v>1913012.0</v>
      </c>
    </row>
    <row r="792">
      <c r="Z792" s="5">
        <v>790.0</v>
      </c>
      <c r="AA792" s="5">
        <v>1912296.0</v>
      </c>
    </row>
    <row r="793">
      <c r="Z793" s="5">
        <v>791.0</v>
      </c>
      <c r="AA793" s="5">
        <v>1911365.0</v>
      </c>
    </row>
    <row r="794">
      <c r="Z794" s="5">
        <v>792.0</v>
      </c>
      <c r="AA794" s="5">
        <v>1911343.0</v>
      </c>
    </row>
    <row r="795">
      <c r="Z795" s="5">
        <v>793.0</v>
      </c>
      <c r="AA795" s="5">
        <v>1911083.0</v>
      </c>
    </row>
    <row r="796">
      <c r="Z796" s="5">
        <v>794.0</v>
      </c>
      <c r="AA796" s="5">
        <v>1911037.0</v>
      </c>
    </row>
    <row r="797">
      <c r="Z797" s="5">
        <v>795.0</v>
      </c>
      <c r="AA797" s="5">
        <v>1911015.0</v>
      </c>
    </row>
    <row r="798">
      <c r="Z798" s="5">
        <v>796.0</v>
      </c>
      <c r="AA798" s="5">
        <v>1910996.0</v>
      </c>
    </row>
    <row r="799">
      <c r="Z799" s="5">
        <v>797.0</v>
      </c>
      <c r="AA799" s="5">
        <v>1910977.0</v>
      </c>
    </row>
    <row r="800">
      <c r="Z800" s="5">
        <v>798.0</v>
      </c>
      <c r="AA800" s="5">
        <v>1910736.0</v>
      </c>
    </row>
    <row r="801">
      <c r="Z801" s="5">
        <v>799.0</v>
      </c>
      <c r="AA801" s="5">
        <v>1910709.0</v>
      </c>
    </row>
    <row r="802">
      <c r="Z802" s="5">
        <v>800.0</v>
      </c>
      <c r="AA802" s="5">
        <v>1910679.0</v>
      </c>
    </row>
    <row r="803">
      <c r="Z803" s="5">
        <v>801.0</v>
      </c>
      <c r="AA803" s="5">
        <v>1910613.0</v>
      </c>
    </row>
    <row r="804">
      <c r="Z804" s="5">
        <v>802.0</v>
      </c>
      <c r="AA804" s="5">
        <v>1910567.0</v>
      </c>
    </row>
    <row r="805">
      <c r="Z805" s="5">
        <v>803.0</v>
      </c>
      <c r="AA805" s="5">
        <v>1910359.0</v>
      </c>
    </row>
    <row r="806">
      <c r="Z806" s="5">
        <v>804.0</v>
      </c>
      <c r="AA806" s="5">
        <v>1909811.0</v>
      </c>
    </row>
    <row r="807">
      <c r="Z807" s="5">
        <v>805.0</v>
      </c>
      <c r="AA807" s="5">
        <v>1909761.0</v>
      </c>
    </row>
    <row r="808">
      <c r="Z808" s="5">
        <v>806.0</v>
      </c>
      <c r="AA808" s="5">
        <v>1909724.0</v>
      </c>
    </row>
    <row r="809">
      <c r="Z809" s="5">
        <v>807.0</v>
      </c>
      <c r="AA809" s="5">
        <v>1909496.0</v>
      </c>
    </row>
    <row r="810">
      <c r="Z810" s="5">
        <v>808.0</v>
      </c>
      <c r="AA810" s="5">
        <v>1909299.0</v>
      </c>
    </row>
    <row r="811">
      <c r="Z811" s="5">
        <v>809.0</v>
      </c>
      <c r="AA811" s="5">
        <v>1909240.0</v>
      </c>
    </row>
    <row r="812">
      <c r="Z812" s="5">
        <v>810.0</v>
      </c>
      <c r="AA812" s="5">
        <v>1908752.0</v>
      </c>
    </row>
    <row r="813">
      <c r="Z813" s="5">
        <v>811.0</v>
      </c>
      <c r="AA813" s="5">
        <v>1908634.0</v>
      </c>
    </row>
    <row r="814">
      <c r="Z814" s="5">
        <v>812.0</v>
      </c>
      <c r="AA814" s="5">
        <v>1907270.0</v>
      </c>
    </row>
    <row r="815">
      <c r="Z815" s="5">
        <v>813.0</v>
      </c>
      <c r="AA815" s="5">
        <v>1907250.0</v>
      </c>
    </row>
    <row r="816">
      <c r="Z816" s="5">
        <v>814.0</v>
      </c>
      <c r="AA816" s="5">
        <v>1906905.0</v>
      </c>
    </row>
    <row r="817">
      <c r="Z817" s="5">
        <v>815.0</v>
      </c>
      <c r="AA817" s="5">
        <v>1906499.0</v>
      </c>
    </row>
    <row r="818">
      <c r="Z818" s="5">
        <v>816.0</v>
      </c>
      <c r="AA818" s="5">
        <v>1905934.0</v>
      </c>
    </row>
    <row r="819">
      <c r="Z819" s="5">
        <v>817.0</v>
      </c>
      <c r="AA819" s="5">
        <v>1905866.0</v>
      </c>
    </row>
    <row r="820">
      <c r="Z820" s="5">
        <v>818.0</v>
      </c>
      <c r="AA820" s="5">
        <v>1905572.0</v>
      </c>
    </row>
    <row r="821">
      <c r="Z821" s="5">
        <v>819.0</v>
      </c>
      <c r="AA821" s="5">
        <v>1903759.0</v>
      </c>
    </row>
    <row r="822">
      <c r="Z822" s="5">
        <v>820.0</v>
      </c>
      <c r="AA822" s="5">
        <v>1903362.0</v>
      </c>
    </row>
    <row r="823">
      <c r="Z823" s="5">
        <v>821.0</v>
      </c>
      <c r="AA823" s="5">
        <v>1900641.0</v>
      </c>
    </row>
    <row r="824">
      <c r="Z824" s="5">
        <v>822.0</v>
      </c>
      <c r="AA824" s="5">
        <v>1900575.0</v>
      </c>
    </row>
    <row r="825">
      <c r="Z825" s="5">
        <v>823.0</v>
      </c>
      <c r="AA825" s="5">
        <v>1899008.0</v>
      </c>
    </row>
    <row r="826">
      <c r="Z826" s="5">
        <v>824.0</v>
      </c>
      <c r="AA826" s="5">
        <v>1897162.0</v>
      </c>
    </row>
    <row r="827">
      <c r="Z827" s="5">
        <v>825.0</v>
      </c>
      <c r="AA827" s="5">
        <v>1896396.0</v>
      </c>
    </row>
    <row r="828">
      <c r="Z828" s="5">
        <v>826.0</v>
      </c>
      <c r="AA828" s="5">
        <v>1896151.0</v>
      </c>
    </row>
    <row r="829">
      <c r="Z829" s="5">
        <v>827.0</v>
      </c>
      <c r="AA829" s="5">
        <v>1895686.0</v>
      </c>
    </row>
    <row r="830">
      <c r="Z830" s="5">
        <v>828.0</v>
      </c>
      <c r="AA830" s="5">
        <v>1895156.0</v>
      </c>
    </row>
    <row r="831">
      <c r="Z831" s="5">
        <v>829.0</v>
      </c>
      <c r="AA831" s="5">
        <v>1893374.0</v>
      </c>
    </row>
    <row r="832">
      <c r="Z832" s="5">
        <v>830.0</v>
      </c>
      <c r="AA832" s="5">
        <v>1891314.0</v>
      </c>
    </row>
    <row r="833">
      <c r="Z833" s="5">
        <v>831.0</v>
      </c>
      <c r="AA833" s="5">
        <v>1890744.0</v>
      </c>
    </row>
    <row r="834">
      <c r="Z834" s="5">
        <v>832.0</v>
      </c>
      <c r="AA834" s="5">
        <v>1890437.0</v>
      </c>
    </row>
    <row r="835">
      <c r="Z835" s="5">
        <v>833.0</v>
      </c>
      <c r="AA835" s="5">
        <v>1889583.0</v>
      </c>
    </row>
    <row r="836">
      <c r="Z836" s="5">
        <v>834.0</v>
      </c>
      <c r="AA836" s="5">
        <v>1889231.0</v>
      </c>
    </row>
    <row r="837">
      <c r="Z837" s="5">
        <v>835.0</v>
      </c>
      <c r="AA837" s="5">
        <v>1887009.0</v>
      </c>
    </row>
    <row r="838">
      <c r="Z838" s="5">
        <v>836.0</v>
      </c>
      <c r="AA838" s="5">
        <v>1886902.0</v>
      </c>
    </row>
    <row r="839">
      <c r="Z839" s="5">
        <v>837.0</v>
      </c>
      <c r="AA839" s="5">
        <v>1886853.0</v>
      </c>
    </row>
    <row r="840">
      <c r="Z840" s="5">
        <v>838.0</v>
      </c>
      <c r="AA840" s="5">
        <v>1886473.0</v>
      </c>
    </row>
    <row r="841">
      <c r="Z841" s="5">
        <v>839.0</v>
      </c>
      <c r="AA841" s="5">
        <v>1885266.0</v>
      </c>
    </row>
    <row r="842">
      <c r="Z842" s="5">
        <v>840.0</v>
      </c>
      <c r="AA842" s="5">
        <v>1885015.0</v>
      </c>
    </row>
    <row r="843">
      <c r="Z843" s="5">
        <v>841.0</v>
      </c>
      <c r="AA843" s="5">
        <v>1884872.0</v>
      </c>
    </row>
    <row r="844">
      <c r="Z844" s="5">
        <v>842.0</v>
      </c>
      <c r="AA844" s="5">
        <v>1884514.0</v>
      </c>
    </row>
    <row r="845">
      <c r="Z845" s="5">
        <v>843.0</v>
      </c>
      <c r="AA845" s="5">
        <v>1883545.0</v>
      </c>
    </row>
    <row r="846">
      <c r="Z846" s="5">
        <v>844.0</v>
      </c>
      <c r="AA846" s="5">
        <v>1883114.0</v>
      </c>
    </row>
    <row r="847">
      <c r="Z847" s="5">
        <v>845.0</v>
      </c>
      <c r="AA847" s="5">
        <v>1881284.0</v>
      </c>
    </row>
    <row r="848">
      <c r="Z848" s="5">
        <v>846.0</v>
      </c>
      <c r="AA848" s="5">
        <v>1880710.0</v>
      </c>
    </row>
    <row r="849">
      <c r="Z849" s="5">
        <v>847.0</v>
      </c>
      <c r="AA849" s="5">
        <v>1879781.0</v>
      </c>
    </row>
    <row r="850">
      <c r="Z850" s="5">
        <v>848.0</v>
      </c>
      <c r="AA850" s="5">
        <v>1879716.0</v>
      </c>
    </row>
    <row r="851">
      <c r="Z851" s="5">
        <v>849.0</v>
      </c>
      <c r="AA851" s="5">
        <v>1878795.0</v>
      </c>
    </row>
    <row r="852">
      <c r="Z852" s="5">
        <v>850.0</v>
      </c>
      <c r="AA852" s="5">
        <v>1877997.0</v>
      </c>
    </row>
    <row r="853">
      <c r="Z853" s="5">
        <v>851.0</v>
      </c>
      <c r="AA853" s="5">
        <v>1877876.0</v>
      </c>
    </row>
    <row r="854">
      <c r="Z854" s="5">
        <v>852.0</v>
      </c>
      <c r="AA854" s="5">
        <v>1877772.0</v>
      </c>
    </row>
    <row r="855">
      <c r="Z855" s="5">
        <v>853.0</v>
      </c>
      <c r="AA855" s="5">
        <v>1875644.0</v>
      </c>
    </row>
    <row r="856">
      <c r="Z856" s="5">
        <v>854.0</v>
      </c>
      <c r="AA856" s="5">
        <v>1872493.0</v>
      </c>
    </row>
    <row r="857">
      <c r="Z857" s="5">
        <v>855.0</v>
      </c>
      <c r="AA857" s="5">
        <v>1871155.0</v>
      </c>
    </row>
    <row r="858">
      <c r="Z858" s="5">
        <v>856.0</v>
      </c>
      <c r="AA858" s="5">
        <v>1870701.0</v>
      </c>
    </row>
    <row r="859">
      <c r="Z859" s="5">
        <v>857.0</v>
      </c>
      <c r="AA859" s="5">
        <v>1870573.0</v>
      </c>
    </row>
    <row r="860">
      <c r="Z860" s="5">
        <v>858.0</v>
      </c>
      <c r="AA860" s="5">
        <v>1870499.0</v>
      </c>
    </row>
    <row r="861">
      <c r="Z861" s="5">
        <v>859.0</v>
      </c>
      <c r="AA861" s="5">
        <v>1870445.0</v>
      </c>
    </row>
    <row r="862">
      <c r="Z862" s="5">
        <v>860.0</v>
      </c>
      <c r="AA862" s="5">
        <v>1869402.0</v>
      </c>
    </row>
    <row r="863">
      <c r="Z863" s="5">
        <v>861.0</v>
      </c>
      <c r="AA863" s="5">
        <v>1869225.0</v>
      </c>
    </row>
    <row r="864">
      <c r="Z864" s="5">
        <v>862.0</v>
      </c>
      <c r="AA864" s="5">
        <v>1869090.0</v>
      </c>
    </row>
    <row r="865">
      <c r="Z865" s="5">
        <v>863.0</v>
      </c>
      <c r="AA865" s="5">
        <v>1869028.0</v>
      </c>
    </row>
    <row r="866">
      <c r="Z866" s="5">
        <v>864.0</v>
      </c>
      <c r="AA866" s="5">
        <v>1868991.0</v>
      </c>
    </row>
    <row r="867">
      <c r="Z867" s="5">
        <v>865.0</v>
      </c>
      <c r="AA867" s="5">
        <v>1868821.0</v>
      </c>
    </row>
    <row r="868">
      <c r="Z868" s="5">
        <v>866.0</v>
      </c>
      <c r="AA868" s="5">
        <v>1868747.0</v>
      </c>
    </row>
    <row r="869">
      <c r="Z869" s="5">
        <v>867.0</v>
      </c>
      <c r="AA869" s="5">
        <v>1866535.0</v>
      </c>
    </row>
    <row r="870">
      <c r="Z870" s="5">
        <v>868.0</v>
      </c>
      <c r="AA870" s="5">
        <v>1866272.0</v>
      </c>
    </row>
    <row r="871">
      <c r="Z871" s="5">
        <v>869.0</v>
      </c>
      <c r="AA871" s="5">
        <v>1865080.0</v>
      </c>
    </row>
    <row r="872">
      <c r="Z872" s="5">
        <v>870.0</v>
      </c>
      <c r="AA872" s="5">
        <v>1865040.0</v>
      </c>
    </row>
    <row r="873">
      <c r="Z873" s="5">
        <v>871.0</v>
      </c>
      <c r="AA873" s="5">
        <v>1864238.0</v>
      </c>
    </row>
    <row r="874">
      <c r="Z874" s="5">
        <v>872.0</v>
      </c>
      <c r="AA874" s="5">
        <v>1864129.0</v>
      </c>
    </row>
    <row r="875">
      <c r="Z875" s="5">
        <v>873.0</v>
      </c>
      <c r="AA875" s="5">
        <v>1863182.0</v>
      </c>
    </row>
    <row r="876">
      <c r="Z876" s="5">
        <v>874.0</v>
      </c>
      <c r="AA876" s="5">
        <v>1863133.0</v>
      </c>
    </row>
    <row r="877">
      <c r="Z877" s="5">
        <v>875.0</v>
      </c>
      <c r="AA877" s="5">
        <v>1862555.0</v>
      </c>
    </row>
    <row r="878">
      <c r="Z878" s="5">
        <v>876.0</v>
      </c>
      <c r="AA878" s="5">
        <v>1862476.0</v>
      </c>
    </row>
    <row r="879">
      <c r="Z879" s="5">
        <v>877.0</v>
      </c>
      <c r="AA879" s="5">
        <v>1861555.0</v>
      </c>
    </row>
    <row r="880">
      <c r="Z880" s="5">
        <v>878.0</v>
      </c>
      <c r="AA880" s="5">
        <v>1861459.0</v>
      </c>
    </row>
    <row r="881">
      <c r="Z881" s="5">
        <v>879.0</v>
      </c>
      <c r="AA881" s="5">
        <v>1861441.0</v>
      </c>
    </row>
    <row r="882">
      <c r="Z882" s="5">
        <v>880.0</v>
      </c>
      <c r="AA882" s="5">
        <v>1860871.0</v>
      </c>
    </row>
    <row r="883">
      <c r="Z883" s="5">
        <v>881.0</v>
      </c>
      <c r="AA883" s="5">
        <v>1860161.0</v>
      </c>
    </row>
    <row r="884">
      <c r="Z884" s="5">
        <v>882.0</v>
      </c>
      <c r="AA884" s="5">
        <v>1859096.0</v>
      </c>
    </row>
    <row r="885">
      <c r="Z885" s="5">
        <v>883.0</v>
      </c>
      <c r="AA885" s="5">
        <v>1858323.0</v>
      </c>
    </row>
    <row r="886">
      <c r="Z886" s="5">
        <v>884.0</v>
      </c>
      <c r="AA886" s="5">
        <v>1857919.0</v>
      </c>
    </row>
    <row r="887">
      <c r="Z887" s="5">
        <v>885.0</v>
      </c>
      <c r="AA887" s="5">
        <v>1857103.0</v>
      </c>
    </row>
    <row r="888">
      <c r="Z888" s="5">
        <v>886.0</v>
      </c>
      <c r="AA888" s="5">
        <v>1855219.0</v>
      </c>
    </row>
    <row r="889">
      <c r="Z889" s="5">
        <v>887.0</v>
      </c>
      <c r="AA889" s="5">
        <v>1854969.0</v>
      </c>
    </row>
    <row r="890">
      <c r="Z890" s="5">
        <v>888.0</v>
      </c>
      <c r="AA890" s="5">
        <v>1854408.0</v>
      </c>
    </row>
    <row r="891">
      <c r="Z891" s="5">
        <v>889.0</v>
      </c>
      <c r="AA891" s="5">
        <v>1853000.0</v>
      </c>
    </row>
    <row r="892">
      <c r="Z892" s="5">
        <v>890.0</v>
      </c>
      <c r="AA892" s="5">
        <v>1852027.0</v>
      </c>
    </row>
    <row r="893">
      <c r="Z893" s="5">
        <v>891.0</v>
      </c>
      <c r="AA893" s="5">
        <v>1851844.0</v>
      </c>
    </row>
    <row r="894">
      <c r="Z894" s="5">
        <v>892.0</v>
      </c>
      <c r="AA894" s="5">
        <v>1851261.0</v>
      </c>
    </row>
    <row r="895">
      <c r="Z895" s="5">
        <v>893.0</v>
      </c>
      <c r="AA895" s="5">
        <v>1850676.0</v>
      </c>
    </row>
    <row r="896">
      <c r="Z896" s="5">
        <v>894.0</v>
      </c>
      <c r="AA896" s="5">
        <v>1850611.0</v>
      </c>
    </row>
    <row r="897">
      <c r="Z897" s="5">
        <v>895.0</v>
      </c>
      <c r="AA897" s="5">
        <v>1850074.0</v>
      </c>
    </row>
    <row r="898">
      <c r="Z898" s="5">
        <v>896.0</v>
      </c>
      <c r="AA898" s="5">
        <v>1850022.0</v>
      </c>
    </row>
    <row r="899">
      <c r="Z899" s="5">
        <v>897.0</v>
      </c>
      <c r="AA899" s="5">
        <v>1849254.0</v>
      </c>
    </row>
    <row r="900">
      <c r="Z900" s="5">
        <v>898.0</v>
      </c>
      <c r="AA900" s="5">
        <v>1849112.0</v>
      </c>
    </row>
    <row r="901">
      <c r="Z901" s="5">
        <v>899.0</v>
      </c>
      <c r="AA901" s="5">
        <v>1848395.0</v>
      </c>
    </row>
    <row r="902">
      <c r="Z902" s="5">
        <v>900.0</v>
      </c>
      <c r="AA902" s="5">
        <v>1848112.0</v>
      </c>
    </row>
    <row r="903">
      <c r="Z903" s="5">
        <v>901.0</v>
      </c>
      <c r="AA903" s="5">
        <v>1847685.0</v>
      </c>
    </row>
    <row r="904">
      <c r="Z904" s="5">
        <v>902.0</v>
      </c>
      <c r="AA904" s="5">
        <v>1846756.0</v>
      </c>
    </row>
    <row r="905">
      <c r="Z905" s="5">
        <v>903.0</v>
      </c>
      <c r="AA905" s="5">
        <v>1846462.0</v>
      </c>
    </row>
    <row r="906">
      <c r="Z906" s="5">
        <v>904.0</v>
      </c>
      <c r="AA906" s="5">
        <v>1846194.0</v>
      </c>
    </row>
    <row r="907">
      <c r="Z907" s="5">
        <v>905.0</v>
      </c>
      <c r="AA907" s="5">
        <v>1845977.0</v>
      </c>
    </row>
    <row r="908">
      <c r="Z908" s="5">
        <v>906.0</v>
      </c>
      <c r="AA908" s="5">
        <v>1845909.0</v>
      </c>
    </row>
    <row r="909">
      <c r="Z909" s="5">
        <v>907.0</v>
      </c>
      <c r="AA909" s="5">
        <v>1845685.0</v>
      </c>
    </row>
    <row r="910">
      <c r="Z910" s="5">
        <v>908.0</v>
      </c>
      <c r="AA910" s="5">
        <v>1844665.0</v>
      </c>
    </row>
    <row r="911">
      <c r="Z911" s="5">
        <v>909.0</v>
      </c>
      <c r="AA911" s="5">
        <v>1843775.0</v>
      </c>
    </row>
    <row r="912">
      <c r="Z912" s="5">
        <v>910.0</v>
      </c>
      <c r="AA912" s="5">
        <v>1843757.0</v>
      </c>
    </row>
    <row r="913">
      <c r="Z913" s="5">
        <v>911.0</v>
      </c>
      <c r="AA913" s="5">
        <v>1842972.0</v>
      </c>
    </row>
    <row r="914">
      <c r="Z914" s="5">
        <v>912.0</v>
      </c>
      <c r="AA914" s="5">
        <v>1842972.0</v>
      </c>
    </row>
    <row r="915">
      <c r="Z915" s="5">
        <v>913.0</v>
      </c>
      <c r="AA915" s="5">
        <v>1842972.0</v>
      </c>
    </row>
    <row r="916">
      <c r="Z916" s="5">
        <v>914.0</v>
      </c>
      <c r="AA916" s="5">
        <v>1842619.0</v>
      </c>
    </row>
    <row r="917">
      <c r="Z917" s="5">
        <v>915.0</v>
      </c>
      <c r="AA917" s="5">
        <v>1841797.0</v>
      </c>
    </row>
    <row r="918">
      <c r="Z918" s="5">
        <v>916.0</v>
      </c>
      <c r="AA918" s="5">
        <v>1841168.0</v>
      </c>
    </row>
    <row r="919">
      <c r="Z919" s="5">
        <v>917.0</v>
      </c>
      <c r="AA919" s="5">
        <v>1841128.0</v>
      </c>
    </row>
    <row r="920">
      <c r="Z920" s="5">
        <v>918.0</v>
      </c>
      <c r="AA920" s="5">
        <v>1841115.0</v>
      </c>
    </row>
    <row r="921">
      <c r="Z921" s="5">
        <v>919.0</v>
      </c>
      <c r="AA921" s="5">
        <v>1841112.0</v>
      </c>
    </row>
    <row r="922">
      <c r="Z922" s="5">
        <v>920.0</v>
      </c>
      <c r="AA922" s="5">
        <v>1841087.0</v>
      </c>
    </row>
    <row r="923">
      <c r="Z923" s="5">
        <v>921.0</v>
      </c>
      <c r="AA923" s="5">
        <v>1840988.0</v>
      </c>
    </row>
    <row r="924">
      <c r="Z924" s="5">
        <v>922.0</v>
      </c>
      <c r="AA924" s="5">
        <v>1840960.0</v>
      </c>
    </row>
    <row r="925">
      <c r="Z925" s="5">
        <v>923.0</v>
      </c>
      <c r="AA925" s="5">
        <v>1840827.0</v>
      </c>
    </row>
    <row r="926">
      <c r="Z926" s="5">
        <v>924.0</v>
      </c>
      <c r="AA926" s="5">
        <v>1840614.0</v>
      </c>
    </row>
    <row r="927">
      <c r="Z927" s="5">
        <v>925.0</v>
      </c>
      <c r="AA927" s="5">
        <v>1840614.0</v>
      </c>
    </row>
    <row r="928">
      <c r="Z928" s="5">
        <v>926.0</v>
      </c>
      <c r="AA928" s="5">
        <v>1840614.0</v>
      </c>
    </row>
    <row r="929">
      <c r="Z929" s="5">
        <v>927.0</v>
      </c>
      <c r="AA929" s="5">
        <v>1840487.0</v>
      </c>
    </row>
    <row r="930">
      <c r="Z930" s="5">
        <v>928.0</v>
      </c>
      <c r="AA930" s="5">
        <v>1839559.0</v>
      </c>
    </row>
    <row r="931">
      <c r="Z931" s="5">
        <v>929.0</v>
      </c>
      <c r="AA931" s="5">
        <v>1839046.0</v>
      </c>
    </row>
    <row r="932">
      <c r="Z932" s="5">
        <v>930.0</v>
      </c>
      <c r="AA932" s="5">
        <v>1838916.0</v>
      </c>
    </row>
    <row r="933">
      <c r="Z933" s="5">
        <v>931.0</v>
      </c>
      <c r="AA933" s="5">
        <v>1838653.0</v>
      </c>
    </row>
    <row r="934">
      <c r="Z934" s="5">
        <v>932.0</v>
      </c>
      <c r="AA934" s="5">
        <v>1838548.0</v>
      </c>
    </row>
    <row r="935">
      <c r="Z935" s="5">
        <v>933.0</v>
      </c>
      <c r="AA935" s="5">
        <v>1838162.0</v>
      </c>
    </row>
    <row r="936">
      <c r="Z936" s="5">
        <v>934.0</v>
      </c>
      <c r="AA936" s="5">
        <v>1837538.0</v>
      </c>
    </row>
    <row r="937">
      <c r="Z937" s="5">
        <v>935.0</v>
      </c>
      <c r="AA937" s="5">
        <v>1837035.0</v>
      </c>
    </row>
    <row r="938">
      <c r="Z938" s="5">
        <v>936.0</v>
      </c>
      <c r="AA938" s="5">
        <v>1835606.0</v>
      </c>
    </row>
    <row r="939">
      <c r="Z939" s="5">
        <v>937.0</v>
      </c>
      <c r="AA939" s="5">
        <v>1835296.0</v>
      </c>
    </row>
    <row r="940">
      <c r="Z940" s="5">
        <v>938.0</v>
      </c>
      <c r="AA940" s="5">
        <v>1835106.0</v>
      </c>
    </row>
    <row r="941">
      <c r="Z941" s="5">
        <v>939.0</v>
      </c>
      <c r="AA941" s="5">
        <v>1835073.0</v>
      </c>
    </row>
    <row r="942">
      <c r="Z942" s="5">
        <v>940.0</v>
      </c>
      <c r="AA942" s="5">
        <v>1834912.0</v>
      </c>
    </row>
    <row r="943">
      <c r="Z943" s="5">
        <v>941.0</v>
      </c>
      <c r="AA943" s="5">
        <v>1834636.0</v>
      </c>
    </row>
    <row r="944">
      <c r="Z944" s="5">
        <v>942.0</v>
      </c>
      <c r="AA944" s="5">
        <v>1833882.0</v>
      </c>
    </row>
    <row r="945">
      <c r="Z945" s="5">
        <v>943.0</v>
      </c>
      <c r="AA945" s="5">
        <v>1833321.0</v>
      </c>
    </row>
    <row r="946">
      <c r="Z946" s="5">
        <v>944.0</v>
      </c>
      <c r="AA946" s="5">
        <v>1833300.0</v>
      </c>
    </row>
    <row r="947">
      <c r="Z947" s="5">
        <v>945.0</v>
      </c>
      <c r="AA947" s="5">
        <v>1832342.0</v>
      </c>
    </row>
    <row r="948">
      <c r="Z948" s="5">
        <v>946.0</v>
      </c>
      <c r="AA948" s="5">
        <v>1830642.0</v>
      </c>
    </row>
    <row r="949">
      <c r="Z949" s="5">
        <v>947.0</v>
      </c>
      <c r="AA949" s="5">
        <v>1829872.0</v>
      </c>
    </row>
    <row r="950">
      <c r="Z950" s="5">
        <v>948.0</v>
      </c>
      <c r="AA950" s="5">
        <v>1828398.0</v>
      </c>
    </row>
    <row r="951">
      <c r="Z951" s="5">
        <v>949.0</v>
      </c>
      <c r="AA951" s="5">
        <v>1828283.0</v>
      </c>
    </row>
    <row r="952">
      <c r="Z952" s="5">
        <v>950.0</v>
      </c>
      <c r="AA952" s="5">
        <v>1826630.0</v>
      </c>
    </row>
    <row r="953">
      <c r="Z953" s="5">
        <v>951.0</v>
      </c>
      <c r="AA953" s="5">
        <v>1826499.0</v>
      </c>
    </row>
    <row r="954">
      <c r="Z954" s="5">
        <v>952.0</v>
      </c>
      <c r="AA954" s="5">
        <v>1825837.0</v>
      </c>
    </row>
    <row r="955">
      <c r="Z955" s="5">
        <v>953.0</v>
      </c>
      <c r="AA955" s="5">
        <v>1825195.0</v>
      </c>
    </row>
    <row r="956">
      <c r="Z956" s="5">
        <v>954.0</v>
      </c>
      <c r="AA956" s="5">
        <v>1824382.0</v>
      </c>
    </row>
    <row r="957">
      <c r="Z957" s="5">
        <v>955.0</v>
      </c>
      <c r="AA957" s="5">
        <v>1824058.0</v>
      </c>
    </row>
    <row r="958">
      <c r="Z958" s="5">
        <v>956.0</v>
      </c>
      <c r="AA958" s="5">
        <v>1823747.0</v>
      </c>
    </row>
    <row r="959">
      <c r="Z959" s="5">
        <v>957.0</v>
      </c>
      <c r="AA959" s="5">
        <v>1823091.0</v>
      </c>
    </row>
    <row r="960">
      <c r="Z960" s="5">
        <v>958.0</v>
      </c>
      <c r="AA960" s="5">
        <v>1822697.0</v>
      </c>
    </row>
    <row r="961">
      <c r="Z961" s="5">
        <v>959.0</v>
      </c>
      <c r="AA961" s="5">
        <v>1821129.0</v>
      </c>
    </row>
    <row r="962">
      <c r="Z962" s="5">
        <v>960.0</v>
      </c>
      <c r="AA962" s="5">
        <v>1820824.0</v>
      </c>
    </row>
    <row r="963">
      <c r="Z963" s="5">
        <v>961.0</v>
      </c>
      <c r="AA963" s="5">
        <v>1820272.0</v>
      </c>
    </row>
    <row r="964">
      <c r="Z964" s="5">
        <v>962.0</v>
      </c>
      <c r="AA964" s="5">
        <v>1820083.0</v>
      </c>
    </row>
    <row r="965">
      <c r="Z965" s="5">
        <v>963.0</v>
      </c>
      <c r="AA965" s="5">
        <v>1819783.0</v>
      </c>
    </row>
    <row r="966">
      <c r="Z966" s="5">
        <v>964.0</v>
      </c>
      <c r="AA966" s="5">
        <v>1819682.0</v>
      </c>
    </row>
    <row r="967">
      <c r="Z967" s="5">
        <v>965.0</v>
      </c>
      <c r="AA967" s="5">
        <v>1819350.0</v>
      </c>
    </row>
    <row r="968">
      <c r="Z968" s="5">
        <v>966.0</v>
      </c>
      <c r="AA968" s="5">
        <v>1819323.0</v>
      </c>
    </row>
    <row r="969">
      <c r="Z969" s="5">
        <v>967.0</v>
      </c>
      <c r="AA969" s="5">
        <v>1819220.0</v>
      </c>
    </row>
    <row r="970">
      <c r="Z970" s="5">
        <v>968.0</v>
      </c>
      <c r="AA970" s="5">
        <v>1817185.0</v>
      </c>
    </row>
    <row r="971">
      <c r="Z971" s="5">
        <v>969.0</v>
      </c>
      <c r="AA971" s="5">
        <v>1816926.0</v>
      </c>
    </row>
    <row r="972">
      <c r="Z972" s="5">
        <v>970.0</v>
      </c>
      <c r="AA972" s="5">
        <v>1816524.0</v>
      </c>
    </row>
    <row r="973">
      <c r="Z973" s="5">
        <v>971.0</v>
      </c>
      <c r="AA973" s="5">
        <v>1816242.0</v>
      </c>
    </row>
    <row r="974">
      <c r="Z974" s="5">
        <v>972.0</v>
      </c>
      <c r="AA974" s="5">
        <v>1815763.0</v>
      </c>
    </row>
    <row r="975">
      <c r="Z975" s="5">
        <v>973.0</v>
      </c>
      <c r="AA975" s="5">
        <v>1813821.0</v>
      </c>
    </row>
    <row r="976">
      <c r="Z976" s="5">
        <v>974.0</v>
      </c>
      <c r="AA976" s="5">
        <v>1813523.0</v>
      </c>
    </row>
    <row r="977">
      <c r="Z977" s="5">
        <v>975.0</v>
      </c>
      <c r="AA977" s="5">
        <v>1813479.0</v>
      </c>
    </row>
    <row r="978">
      <c r="Z978" s="5">
        <v>976.0</v>
      </c>
      <c r="AA978" s="5">
        <v>1813461.0</v>
      </c>
    </row>
    <row r="979">
      <c r="Z979" s="5">
        <v>977.0</v>
      </c>
      <c r="AA979" s="5">
        <v>1813267.0</v>
      </c>
    </row>
    <row r="980">
      <c r="Z980" s="5">
        <v>978.0</v>
      </c>
      <c r="AA980" s="5">
        <v>1812108.0</v>
      </c>
    </row>
    <row r="981">
      <c r="Z981" s="5">
        <v>979.0</v>
      </c>
      <c r="AA981" s="5">
        <v>1808689.0</v>
      </c>
    </row>
    <row r="982">
      <c r="Z982" s="5">
        <v>980.0</v>
      </c>
      <c r="AA982" s="5">
        <v>1808440.0</v>
      </c>
    </row>
    <row r="983">
      <c r="Z983" s="5">
        <v>981.0</v>
      </c>
      <c r="AA983" s="5">
        <v>1807624.0</v>
      </c>
    </row>
    <row r="984">
      <c r="Z984" s="5">
        <v>982.0</v>
      </c>
      <c r="AA984" s="5">
        <v>1804980.0</v>
      </c>
    </row>
    <row r="985">
      <c r="Z985" s="5">
        <v>983.0</v>
      </c>
      <c r="AA985" s="5">
        <v>1804859.0</v>
      </c>
    </row>
    <row r="986">
      <c r="Z986" s="5">
        <v>984.0</v>
      </c>
      <c r="AA986" s="5">
        <v>1803584.0</v>
      </c>
    </row>
    <row r="987">
      <c r="Z987" s="5">
        <v>985.0</v>
      </c>
      <c r="AA987" s="5">
        <v>1798065.0</v>
      </c>
    </row>
    <row r="988">
      <c r="Z988" s="5">
        <v>986.0</v>
      </c>
      <c r="AA988" s="5">
        <v>1797664.0</v>
      </c>
    </row>
    <row r="989">
      <c r="Z989" s="5">
        <v>987.0</v>
      </c>
      <c r="AA989" s="5">
        <v>1797261.0</v>
      </c>
    </row>
    <row r="990">
      <c r="Z990" s="5">
        <v>988.0</v>
      </c>
      <c r="AA990" s="5">
        <v>1796729.0</v>
      </c>
    </row>
    <row r="991">
      <c r="Z991" s="5">
        <v>989.0</v>
      </c>
      <c r="AA991" s="5">
        <v>1796507.0</v>
      </c>
    </row>
    <row r="992">
      <c r="Z992" s="5">
        <v>990.0</v>
      </c>
      <c r="AA992" s="5">
        <v>1796028.0</v>
      </c>
    </row>
    <row r="993">
      <c r="Z993" s="5">
        <v>991.0</v>
      </c>
      <c r="AA993" s="5">
        <v>1795327.0</v>
      </c>
    </row>
    <row r="994">
      <c r="Z994" s="5">
        <v>992.0</v>
      </c>
      <c r="AA994" s="5">
        <v>1794416.0</v>
      </c>
    </row>
    <row r="995">
      <c r="Z995" s="5">
        <v>993.0</v>
      </c>
      <c r="AA995" s="5">
        <v>1792343.0</v>
      </c>
    </row>
    <row r="996">
      <c r="Z996" s="5">
        <v>994.0</v>
      </c>
      <c r="AA996" s="5">
        <v>1791865.0</v>
      </c>
    </row>
    <row r="997">
      <c r="Z997" s="5">
        <v>995.0</v>
      </c>
      <c r="AA997" s="5">
        <v>1791723.0</v>
      </c>
    </row>
    <row r="998">
      <c r="Z998" s="5">
        <v>996.0</v>
      </c>
      <c r="AA998" s="5">
        <v>1791297.0</v>
      </c>
    </row>
    <row r="999">
      <c r="Z999" s="5">
        <v>997.0</v>
      </c>
      <c r="AA999" s="5">
        <v>3.80367021E8</v>
      </c>
    </row>
    <row r="1000">
      <c r="Z1000" s="5">
        <v>998.0</v>
      </c>
      <c r="AA1000" s="5">
        <v>1790406.0</v>
      </c>
    </row>
    <row r="1001">
      <c r="Z1001" s="5">
        <v>999.0</v>
      </c>
      <c r="AA1001" s="5">
        <v>1789992.0</v>
      </c>
    </row>
    <row r="1002">
      <c r="Z1002" s="5">
        <v>1000.0</v>
      </c>
      <c r="AA1002" s="5">
        <v>1789195.0</v>
      </c>
    </row>
    <row r="1003">
      <c r="Z1003" s="5">
        <v>1001.0</v>
      </c>
      <c r="AA1003" s="5">
        <v>1788782.0</v>
      </c>
    </row>
    <row r="1004">
      <c r="Z1004" s="5">
        <v>1002.0</v>
      </c>
      <c r="AA1004" s="5">
        <v>1788061.0</v>
      </c>
    </row>
    <row r="1005">
      <c r="Z1005" s="5">
        <v>1003.0</v>
      </c>
      <c r="AA1005" s="5">
        <v>1787827.0</v>
      </c>
    </row>
    <row r="1006">
      <c r="Z1006" s="5">
        <v>1004.0</v>
      </c>
      <c r="AA1006" s="5">
        <v>1787333.0</v>
      </c>
    </row>
    <row r="1007">
      <c r="Z1007" s="5">
        <v>1005.0</v>
      </c>
      <c r="AA1007" s="5">
        <v>1786785.0</v>
      </c>
    </row>
    <row r="1008">
      <c r="Z1008" s="5">
        <v>1006.0</v>
      </c>
      <c r="AA1008" s="5">
        <v>1786707.0</v>
      </c>
    </row>
    <row r="1009">
      <c r="Z1009" s="5">
        <v>1007.0</v>
      </c>
      <c r="AA1009" s="5">
        <v>1785421.0</v>
      </c>
    </row>
    <row r="1010">
      <c r="Z1010" s="5">
        <v>1008.0</v>
      </c>
      <c r="AA1010" s="5">
        <v>1784973.0</v>
      </c>
    </row>
    <row r="1011">
      <c r="Z1011" s="5">
        <v>1009.0</v>
      </c>
      <c r="AA1011" s="5">
        <v>1784873.0</v>
      </c>
    </row>
    <row r="1012">
      <c r="Z1012" s="5">
        <v>1010.0</v>
      </c>
      <c r="AA1012" s="5">
        <v>1784431.0</v>
      </c>
    </row>
    <row r="1013">
      <c r="Z1013" s="5">
        <v>1011.0</v>
      </c>
      <c r="AA1013" s="5">
        <v>1784399.0</v>
      </c>
    </row>
    <row r="1014">
      <c r="Z1014" s="5">
        <v>1012.0</v>
      </c>
      <c r="AA1014" s="5">
        <v>1784001.0</v>
      </c>
    </row>
    <row r="1015">
      <c r="Z1015" s="5">
        <v>1013.0</v>
      </c>
      <c r="AA1015" s="5">
        <v>1783324.0</v>
      </c>
    </row>
    <row r="1016">
      <c r="Z1016" s="5">
        <v>1014.0</v>
      </c>
      <c r="AA1016" s="5">
        <v>1782407.0</v>
      </c>
    </row>
    <row r="1017">
      <c r="Z1017" s="5">
        <v>1015.0</v>
      </c>
      <c r="AA1017" s="5">
        <v>1779095.0</v>
      </c>
    </row>
    <row r="1018">
      <c r="Z1018" s="5">
        <v>1016.0</v>
      </c>
      <c r="AA1018" s="5">
        <v>1779032.0</v>
      </c>
    </row>
    <row r="1019">
      <c r="Z1019" s="5">
        <v>1017.0</v>
      </c>
      <c r="AA1019" s="5">
        <v>1778800.0</v>
      </c>
    </row>
    <row r="1020">
      <c r="Z1020" s="5">
        <v>1018.0</v>
      </c>
      <c r="AA1020" s="5">
        <v>1778785.0</v>
      </c>
    </row>
    <row r="1021">
      <c r="Z1021" s="5">
        <v>1019.0</v>
      </c>
      <c r="AA1021" s="5">
        <v>1778624.0</v>
      </c>
    </row>
    <row r="1022">
      <c r="Z1022" s="5">
        <v>1020.0</v>
      </c>
      <c r="AA1022" s="5">
        <v>1778009.0</v>
      </c>
    </row>
    <row r="1023">
      <c r="Z1023" s="5">
        <v>1021.0</v>
      </c>
      <c r="AA1023" s="5">
        <v>1777042.0</v>
      </c>
    </row>
    <row r="1024">
      <c r="Z1024" s="5">
        <v>1022.0</v>
      </c>
      <c r="AA1024" s="5">
        <v>1775387.0</v>
      </c>
    </row>
    <row r="1025">
      <c r="Z1025" s="5">
        <v>1023.0</v>
      </c>
      <c r="AA1025" s="5">
        <v>1774309.0</v>
      </c>
    </row>
    <row r="1026">
      <c r="Z1026" s="5">
        <v>1024.0</v>
      </c>
      <c r="AA1026" s="5">
        <v>1773013.0</v>
      </c>
    </row>
    <row r="1027">
      <c r="Z1027" s="5">
        <v>1025.0</v>
      </c>
      <c r="AA1027" s="5">
        <v>1772886.0</v>
      </c>
    </row>
    <row r="1028">
      <c r="Z1028" s="5">
        <v>1026.0</v>
      </c>
      <c r="AA1028" s="5">
        <v>1772482.0</v>
      </c>
    </row>
    <row r="1029">
      <c r="Z1029" s="5">
        <v>1027.0</v>
      </c>
      <c r="AA1029" s="5">
        <v>1772482.0</v>
      </c>
    </row>
    <row r="1030">
      <c r="Z1030" s="5">
        <v>1028.0</v>
      </c>
      <c r="AA1030" s="5">
        <v>1772482.0</v>
      </c>
    </row>
    <row r="1031">
      <c r="Z1031" s="5">
        <v>1029.0</v>
      </c>
      <c r="AA1031" s="5">
        <v>1772482.0</v>
      </c>
    </row>
    <row r="1032">
      <c r="Z1032" s="5">
        <v>1030.0</v>
      </c>
      <c r="AA1032" s="5">
        <v>1772452.0</v>
      </c>
    </row>
    <row r="1033">
      <c r="Z1033" s="5">
        <v>1031.0</v>
      </c>
      <c r="AA1033" s="5">
        <v>1772328.0</v>
      </c>
    </row>
    <row r="1034">
      <c r="Z1034" s="5">
        <v>1032.0</v>
      </c>
      <c r="AA1034" s="5">
        <v>1772213.0</v>
      </c>
    </row>
    <row r="1035">
      <c r="Z1035" s="5">
        <v>1033.0</v>
      </c>
      <c r="AA1035" s="5">
        <v>1772143.0</v>
      </c>
    </row>
    <row r="1036">
      <c r="Z1036" s="5">
        <v>1034.0</v>
      </c>
      <c r="AA1036" s="5">
        <v>1771299.0</v>
      </c>
    </row>
    <row r="1037">
      <c r="Z1037" s="5">
        <v>1035.0</v>
      </c>
      <c r="AA1037" s="5">
        <v>1770469.0</v>
      </c>
    </row>
    <row r="1038">
      <c r="Z1038" s="5">
        <v>1036.0</v>
      </c>
      <c r="AA1038" s="5">
        <v>1770297.0</v>
      </c>
    </row>
    <row r="1039">
      <c r="Z1039" s="5">
        <v>1037.0</v>
      </c>
      <c r="AA1039" s="5">
        <v>1769954.0</v>
      </c>
    </row>
    <row r="1040">
      <c r="Z1040" s="5">
        <v>1038.0</v>
      </c>
      <c r="AA1040" s="5">
        <v>1769839.0</v>
      </c>
    </row>
    <row r="1041">
      <c r="Z1041" s="5">
        <v>1039.0</v>
      </c>
      <c r="AA1041" s="5">
        <v>1765851.0</v>
      </c>
    </row>
    <row r="1042">
      <c r="Z1042" s="5">
        <v>1040.0</v>
      </c>
      <c r="AA1042" s="5">
        <v>1764915.0</v>
      </c>
    </row>
    <row r="1043">
      <c r="Z1043" s="5">
        <v>1041.0</v>
      </c>
      <c r="AA1043" s="5">
        <v>1764474.0</v>
      </c>
    </row>
    <row r="1044">
      <c r="Z1044" s="5">
        <v>1042.0</v>
      </c>
      <c r="AA1044" s="5">
        <v>1763997.0</v>
      </c>
    </row>
    <row r="1045">
      <c r="Z1045" s="5">
        <v>1043.0</v>
      </c>
      <c r="AA1045" s="5">
        <v>1763299.0</v>
      </c>
    </row>
    <row r="1046">
      <c r="Z1046" s="5">
        <v>1044.0</v>
      </c>
      <c r="AA1046" s="5">
        <v>1762868.0</v>
      </c>
    </row>
    <row r="1047">
      <c r="Z1047" s="5">
        <v>1045.0</v>
      </c>
      <c r="AA1047" s="5">
        <v>1761773.0</v>
      </c>
    </row>
    <row r="1048">
      <c r="Z1048" s="5">
        <v>1046.0</v>
      </c>
      <c r="AA1048" s="5">
        <v>1761038.0</v>
      </c>
    </row>
    <row r="1049">
      <c r="Z1049" s="5">
        <v>1047.0</v>
      </c>
      <c r="AA1049" s="5">
        <v>1760877.0</v>
      </c>
    </row>
    <row r="1050">
      <c r="Z1050" s="5">
        <v>1048.0</v>
      </c>
      <c r="AA1050" s="5">
        <v>1760235.0</v>
      </c>
    </row>
    <row r="1051">
      <c r="Z1051" s="5">
        <v>1049.0</v>
      </c>
      <c r="AA1051" s="5">
        <v>1759871.0</v>
      </c>
    </row>
    <row r="1052">
      <c r="Z1052" s="5">
        <v>1050.0</v>
      </c>
      <c r="AA1052" s="5">
        <v>1758350.0</v>
      </c>
    </row>
    <row r="1053">
      <c r="Z1053" s="5">
        <v>1051.0</v>
      </c>
      <c r="AA1053" s="5">
        <v>1758191.0</v>
      </c>
    </row>
    <row r="1054">
      <c r="Z1054" s="5">
        <v>1052.0</v>
      </c>
      <c r="AA1054" s="5">
        <v>1757429.0</v>
      </c>
    </row>
    <row r="1055">
      <c r="Z1055" s="5">
        <v>1053.0</v>
      </c>
      <c r="AA1055" s="5">
        <v>1756833.0</v>
      </c>
    </row>
    <row r="1056">
      <c r="Z1056" s="5">
        <v>1054.0</v>
      </c>
      <c r="AA1056" s="5">
        <v>1756130.0</v>
      </c>
    </row>
    <row r="1057">
      <c r="Z1057" s="5">
        <v>1055.0</v>
      </c>
      <c r="AA1057" s="5">
        <v>1755898.0</v>
      </c>
    </row>
    <row r="1058">
      <c r="Z1058" s="5">
        <v>1056.0</v>
      </c>
      <c r="AA1058" s="5">
        <v>1755718.0</v>
      </c>
    </row>
    <row r="1059">
      <c r="Z1059" s="5">
        <v>1057.0</v>
      </c>
      <c r="AA1059" s="5">
        <v>1753399.0</v>
      </c>
    </row>
    <row r="1060">
      <c r="Z1060" s="5">
        <v>1058.0</v>
      </c>
      <c r="AA1060" s="5">
        <v>1752688.0</v>
      </c>
    </row>
    <row r="1061">
      <c r="Z1061" s="5">
        <v>1059.0</v>
      </c>
      <c r="AA1061" s="5">
        <v>1752310.0</v>
      </c>
    </row>
    <row r="1062">
      <c r="Z1062" s="5">
        <v>1060.0</v>
      </c>
      <c r="AA1062" s="5">
        <v>1751880.0</v>
      </c>
    </row>
    <row r="1063">
      <c r="Z1063" s="5">
        <v>1061.0</v>
      </c>
      <c r="AA1063" s="5">
        <v>1751877.0</v>
      </c>
    </row>
    <row r="1064">
      <c r="Z1064" s="5">
        <v>1062.0</v>
      </c>
      <c r="AA1064" s="5">
        <v>1750098.0</v>
      </c>
    </row>
    <row r="1065">
      <c r="Z1065" s="5">
        <v>1063.0</v>
      </c>
      <c r="AA1065" s="5">
        <v>1749955.0</v>
      </c>
    </row>
    <row r="1066">
      <c r="Z1066" s="5">
        <v>1064.0</v>
      </c>
      <c r="AA1066" s="5">
        <v>1749890.0</v>
      </c>
    </row>
    <row r="1067">
      <c r="Z1067" s="5">
        <v>1065.0</v>
      </c>
      <c r="AA1067" s="5">
        <v>1749026.0</v>
      </c>
    </row>
    <row r="1068">
      <c r="Z1068" s="5">
        <v>1066.0</v>
      </c>
      <c r="AA1068" s="5">
        <v>1746669.0</v>
      </c>
    </row>
    <row r="1069">
      <c r="Z1069" s="5">
        <v>1067.0</v>
      </c>
      <c r="AA1069" s="5">
        <v>1746142.0</v>
      </c>
    </row>
    <row r="1070">
      <c r="Z1070" s="5">
        <v>1068.0</v>
      </c>
      <c r="AA1070" s="5">
        <v>1745737.0</v>
      </c>
    </row>
    <row r="1071">
      <c r="Z1071" s="5">
        <v>1069.0</v>
      </c>
      <c r="AA1071" s="5">
        <v>1745528.0</v>
      </c>
    </row>
    <row r="1072">
      <c r="Z1072" s="5">
        <v>1070.0</v>
      </c>
      <c r="AA1072" s="5">
        <v>1744779.0</v>
      </c>
    </row>
    <row r="1073">
      <c r="Z1073" s="5">
        <v>1071.0</v>
      </c>
      <c r="AA1073" s="5">
        <v>1744708.0</v>
      </c>
    </row>
    <row r="1074">
      <c r="Z1074" s="5">
        <v>1072.0</v>
      </c>
      <c r="AA1074" s="5">
        <v>1743630.0</v>
      </c>
    </row>
    <row r="1075">
      <c r="Z1075" s="5">
        <v>1073.0</v>
      </c>
      <c r="AA1075" s="5">
        <v>1742018.0</v>
      </c>
    </row>
    <row r="1076">
      <c r="Z1076" s="5">
        <v>1074.0</v>
      </c>
      <c r="AA1076" s="5">
        <v>1741272.0</v>
      </c>
    </row>
    <row r="1077">
      <c r="Z1077" s="5">
        <v>1075.0</v>
      </c>
      <c r="AA1077" s="5">
        <v>1741241.0</v>
      </c>
    </row>
    <row r="1078">
      <c r="Z1078" s="5">
        <v>1076.0</v>
      </c>
      <c r="AA1078" s="5">
        <v>1740827.0</v>
      </c>
    </row>
    <row r="1079">
      <c r="Z1079" s="5">
        <v>1077.0</v>
      </c>
      <c r="AA1079" s="5">
        <v>1739837.0</v>
      </c>
    </row>
    <row r="1080">
      <c r="Z1080" s="5">
        <v>1078.0</v>
      </c>
      <c r="AA1080" s="5">
        <v>1739282.0</v>
      </c>
    </row>
    <row r="1081">
      <c r="Z1081" s="5">
        <v>1079.0</v>
      </c>
      <c r="AA1081" s="5">
        <v>1739231.0</v>
      </c>
    </row>
    <row r="1082">
      <c r="Z1082" s="5">
        <v>1080.0</v>
      </c>
      <c r="AA1082" s="5">
        <v>1738863.0</v>
      </c>
    </row>
    <row r="1083">
      <c r="Z1083" s="5">
        <v>1081.0</v>
      </c>
      <c r="AA1083" s="5">
        <v>1736025.0</v>
      </c>
    </row>
    <row r="1084">
      <c r="Z1084" s="5">
        <v>1082.0</v>
      </c>
      <c r="AA1084" s="5">
        <v>1735436.0</v>
      </c>
    </row>
    <row r="1085">
      <c r="Z1085" s="5">
        <v>1083.0</v>
      </c>
      <c r="AA1085" s="5">
        <v>1734618.0</v>
      </c>
    </row>
    <row r="1086">
      <c r="Z1086" s="5">
        <v>1084.0</v>
      </c>
      <c r="AA1086" s="5">
        <v>1732196.0</v>
      </c>
    </row>
    <row r="1087">
      <c r="Z1087" s="5">
        <v>1085.0</v>
      </c>
      <c r="AA1087" s="5">
        <v>1730664.0</v>
      </c>
    </row>
    <row r="1088">
      <c r="Z1088" s="5">
        <v>1086.0</v>
      </c>
      <c r="AA1088" s="5">
        <v>1729969.0</v>
      </c>
    </row>
    <row r="1089">
      <c r="Z1089" s="5">
        <v>1087.0</v>
      </c>
      <c r="AA1089" s="5">
        <v>1729721.0</v>
      </c>
    </row>
    <row r="1090">
      <c r="Z1090" s="5">
        <v>1088.0</v>
      </c>
      <c r="AA1090" s="5">
        <v>1729304.0</v>
      </c>
    </row>
    <row r="1091">
      <c r="Z1091" s="5">
        <v>1089.0</v>
      </c>
      <c r="AA1091" s="5">
        <v>1728733.0</v>
      </c>
    </row>
    <row r="1092">
      <c r="Z1092" s="5">
        <v>1090.0</v>
      </c>
      <c r="AA1092" s="5">
        <v>1728139.0</v>
      </c>
    </row>
    <row r="1093">
      <c r="Z1093" s="5">
        <v>1091.0</v>
      </c>
      <c r="AA1093" s="5">
        <v>1727054.0</v>
      </c>
    </row>
    <row r="1094">
      <c r="Z1094" s="5">
        <v>1092.0</v>
      </c>
      <c r="AA1094" s="5">
        <v>1726344.0</v>
      </c>
    </row>
    <row r="1095">
      <c r="Z1095" s="5">
        <v>1093.0</v>
      </c>
      <c r="AA1095" s="5">
        <v>1726021.0</v>
      </c>
    </row>
    <row r="1096">
      <c r="Z1096" s="5">
        <v>1094.0</v>
      </c>
      <c r="AA1096" s="5">
        <v>1725684.0</v>
      </c>
    </row>
    <row r="1097">
      <c r="Z1097" s="5">
        <v>1095.0</v>
      </c>
      <c r="AA1097" s="5">
        <v>1725491.0</v>
      </c>
    </row>
    <row r="1098">
      <c r="Z1098" s="5">
        <v>1096.0</v>
      </c>
      <c r="AA1098" s="5">
        <v>1722687.0</v>
      </c>
    </row>
    <row r="1099">
      <c r="Z1099" s="5">
        <v>1097.0</v>
      </c>
      <c r="AA1099" s="5">
        <v>1722530.0</v>
      </c>
    </row>
    <row r="1100">
      <c r="Z1100" s="5">
        <v>1098.0</v>
      </c>
      <c r="AA1100" s="5">
        <v>1722417.0</v>
      </c>
    </row>
    <row r="1101">
      <c r="Z1101" s="5">
        <v>1099.0</v>
      </c>
      <c r="AA1101" s="5">
        <v>1721911.0</v>
      </c>
    </row>
    <row r="1102">
      <c r="Z1102" s="5">
        <v>1100.0</v>
      </c>
      <c r="AA1102" s="5">
        <v>1721851.0</v>
      </c>
    </row>
    <row r="1103">
      <c r="Z1103" s="5">
        <v>1101.0</v>
      </c>
      <c r="AA1103" s="5">
        <v>1721629.0</v>
      </c>
    </row>
    <row r="1104">
      <c r="Z1104" s="5">
        <v>1102.0</v>
      </c>
      <c r="AA1104" s="5">
        <v>1720909.0</v>
      </c>
    </row>
    <row r="1105">
      <c r="Z1105" s="5">
        <v>1103.0</v>
      </c>
      <c r="AA1105" s="5">
        <v>1720657.0</v>
      </c>
    </row>
    <row r="1106">
      <c r="Z1106" s="5">
        <v>1104.0</v>
      </c>
      <c r="AA1106" s="5">
        <v>1720082.0</v>
      </c>
    </row>
    <row r="1107">
      <c r="Z1107" s="5">
        <v>1105.0</v>
      </c>
      <c r="AA1107" s="5">
        <v>1719098.0</v>
      </c>
    </row>
    <row r="1108">
      <c r="Z1108" s="5">
        <v>1106.0</v>
      </c>
      <c r="AA1108" s="5">
        <v>1718802.0</v>
      </c>
    </row>
    <row r="1109">
      <c r="Z1109" s="5">
        <v>1107.0</v>
      </c>
      <c r="AA1109" s="5">
        <v>1717749.0</v>
      </c>
    </row>
    <row r="1110">
      <c r="Z1110" s="5">
        <v>1108.0</v>
      </c>
      <c r="AA1110" s="5">
        <v>1716853.0</v>
      </c>
    </row>
    <row r="1111">
      <c r="Z1111" s="5">
        <v>1109.0</v>
      </c>
      <c r="AA1111" s="5">
        <v>1715121.0</v>
      </c>
    </row>
    <row r="1112">
      <c r="Z1112" s="5">
        <v>1110.0</v>
      </c>
      <c r="AA1112" s="5">
        <v>1714218.0</v>
      </c>
    </row>
    <row r="1113">
      <c r="Z1113" s="5">
        <v>1111.0</v>
      </c>
      <c r="AA1113" s="5">
        <v>1713826.0</v>
      </c>
    </row>
    <row r="1114">
      <c r="Z1114" s="5">
        <v>1112.0</v>
      </c>
      <c r="AA1114" s="5">
        <v>1713162.0</v>
      </c>
    </row>
    <row r="1115">
      <c r="Z1115" s="5">
        <v>1113.0</v>
      </c>
      <c r="AA1115" s="5">
        <v>1712788.0</v>
      </c>
    </row>
    <row r="1116">
      <c r="Z1116" s="5">
        <v>1114.0</v>
      </c>
      <c r="AA1116" s="5">
        <v>1712597.0</v>
      </c>
    </row>
    <row r="1117">
      <c r="Z1117" s="5">
        <v>1115.0</v>
      </c>
      <c r="AA1117" s="5">
        <v>1712177.0</v>
      </c>
    </row>
    <row r="1118">
      <c r="Z1118" s="5">
        <v>1116.0</v>
      </c>
      <c r="AA1118" s="5">
        <v>1712109.0</v>
      </c>
    </row>
    <row r="1119">
      <c r="Z1119" s="5">
        <v>1117.0</v>
      </c>
      <c r="AA1119" s="5">
        <v>1711759.0</v>
      </c>
    </row>
    <row r="1120">
      <c r="Z1120" s="5">
        <v>1118.0</v>
      </c>
      <c r="AA1120" s="5">
        <v>1711575.0</v>
      </c>
    </row>
    <row r="1121">
      <c r="Z1121" s="5">
        <v>1119.0</v>
      </c>
      <c r="AA1121" s="5">
        <v>1710220.0</v>
      </c>
    </row>
    <row r="1122">
      <c r="Z1122" s="5">
        <v>1120.0</v>
      </c>
      <c r="AA1122" s="5">
        <v>1709711.0</v>
      </c>
    </row>
    <row r="1123">
      <c r="Z1123" s="5">
        <v>1121.0</v>
      </c>
      <c r="AA1123" s="5">
        <v>1709213.0</v>
      </c>
    </row>
    <row r="1124">
      <c r="Z1124" s="5">
        <v>1122.0</v>
      </c>
      <c r="AA1124" s="5">
        <v>1708235.0</v>
      </c>
    </row>
    <row r="1125">
      <c r="Z1125" s="5">
        <v>1123.0</v>
      </c>
      <c r="AA1125" s="5">
        <v>1705899.0</v>
      </c>
    </row>
    <row r="1126">
      <c r="Z1126" s="5">
        <v>1124.0</v>
      </c>
      <c r="AA1126" s="5">
        <v>1704770.0</v>
      </c>
    </row>
    <row r="1127">
      <c r="Z1127" s="5">
        <v>1125.0</v>
      </c>
      <c r="AA1127" s="5">
        <v>1703865.0</v>
      </c>
    </row>
    <row r="1128">
      <c r="Z1128" s="5">
        <v>1126.0</v>
      </c>
      <c r="AA1128" s="5">
        <v>1702712.0</v>
      </c>
    </row>
    <row r="1129">
      <c r="Z1129" s="5">
        <v>1127.0</v>
      </c>
      <c r="AA1129" s="5">
        <v>1702402.0</v>
      </c>
    </row>
    <row r="1130">
      <c r="Z1130" s="5">
        <v>1128.0</v>
      </c>
      <c r="AA1130" s="5">
        <v>1702286.0</v>
      </c>
    </row>
    <row r="1131">
      <c r="Z1131" s="5">
        <v>1129.0</v>
      </c>
      <c r="AA1131" s="5">
        <v>1701882.0</v>
      </c>
    </row>
    <row r="1132">
      <c r="Z1132" s="5">
        <v>1130.0</v>
      </c>
      <c r="AA1132" s="5">
        <v>1701247.0</v>
      </c>
    </row>
    <row r="1133">
      <c r="Z1133" s="5">
        <v>1131.0</v>
      </c>
      <c r="AA1133" s="5">
        <v>1700430.0</v>
      </c>
    </row>
    <row r="1134">
      <c r="Z1134" s="5">
        <v>1132.0</v>
      </c>
      <c r="AA1134" s="5">
        <v>1699869.0</v>
      </c>
    </row>
    <row r="1135">
      <c r="Z1135" s="5">
        <v>1133.0</v>
      </c>
      <c r="AA1135" s="5">
        <v>1699681.0</v>
      </c>
    </row>
    <row r="1136">
      <c r="Z1136" s="5">
        <v>1134.0</v>
      </c>
      <c r="AA1136" s="5">
        <v>1699386.0</v>
      </c>
    </row>
    <row r="1137">
      <c r="Z1137" s="5">
        <v>1135.0</v>
      </c>
      <c r="AA1137" s="5">
        <v>1697504.0</v>
      </c>
    </row>
    <row r="1138">
      <c r="Z1138" s="5">
        <v>1136.0</v>
      </c>
      <c r="AA1138" s="5">
        <v>1697043.0</v>
      </c>
    </row>
    <row r="1139">
      <c r="Z1139" s="5">
        <v>1137.0</v>
      </c>
      <c r="AA1139" s="5">
        <v>1694719.0</v>
      </c>
    </row>
    <row r="1140">
      <c r="Z1140" s="5">
        <v>1138.0</v>
      </c>
      <c r="AA1140" s="5">
        <v>1694184.0</v>
      </c>
    </row>
    <row r="1141">
      <c r="Z1141" s="5">
        <v>1139.0</v>
      </c>
      <c r="AA1141" s="5">
        <v>1693199.0</v>
      </c>
    </row>
    <row r="1142">
      <c r="Z1142" s="5">
        <v>1140.0</v>
      </c>
      <c r="AA1142" s="5">
        <v>1690644.0</v>
      </c>
    </row>
    <row r="1143">
      <c r="Z1143" s="5">
        <v>1141.0</v>
      </c>
      <c r="AA1143" s="5">
        <v>1689788.0</v>
      </c>
    </row>
    <row r="1144">
      <c r="Z1144" s="5">
        <v>1142.0</v>
      </c>
      <c r="AA1144" s="5">
        <v>1689360.0</v>
      </c>
    </row>
    <row r="1145">
      <c r="Z1145" s="5">
        <v>1143.0</v>
      </c>
      <c r="AA1145" s="5">
        <v>1688680.0</v>
      </c>
    </row>
    <row r="1146">
      <c r="Z1146" s="5">
        <v>1144.0</v>
      </c>
      <c r="AA1146" s="5">
        <v>1688252.0</v>
      </c>
    </row>
    <row r="1147">
      <c r="Z1147" s="5">
        <v>1145.0</v>
      </c>
      <c r="AA1147" s="5">
        <v>1686569.0</v>
      </c>
    </row>
    <row r="1148">
      <c r="Z1148" s="5">
        <v>1146.0</v>
      </c>
      <c r="AA1148" s="5">
        <v>1686525.0</v>
      </c>
    </row>
    <row r="1149">
      <c r="Z1149" s="5">
        <v>1147.0</v>
      </c>
      <c r="AA1149" s="5">
        <v>1686284.0</v>
      </c>
    </row>
    <row r="1150">
      <c r="Z1150" s="5">
        <v>1148.0</v>
      </c>
      <c r="AA1150" s="5">
        <v>1685905.0</v>
      </c>
    </row>
    <row r="1151">
      <c r="Z1151" s="5">
        <v>1149.0</v>
      </c>
      <c r="AA1151" s="5">
        <v>1685142.0</v>
      </c>
    </row>
    <row r="1152">
      <c r="Z1152" s="5">
        <v>1150.0</v>
      </c>
      <c r="AA1152" s="5">
        <v>1684260.0</v>
      </c>
    </row>
    <row r="1153">
      <c r="Z1153" s="5">
        <v>1151.0</v>
      </c>
      <c r="AA1153" s="5">
        <v>1683884.0</v>
      </c>
    </row>
    <row r="1154">
      <c r="Z1154" s="5">
        <v>1152.0</v>
      </c>
      <c r="AA1154" s="5">
        <v>1683582.0</v>
      </c>
    </row>
    <row r="1155">
      <c r="Z1155" s="5">
        <v>1153.0</v>
      </c>
      <c r="AA1155" s="5">
        <v>1683247.0</v>
      </c>
    </row>
    <row r="1156">
      <c r="Z1156" s="5">
        <v>1154.0</v>
      </c>
      <c r="AA1156" s="5">
        <v>1682332.0</v>
      </c>
    </row>
    <row r="1157">
      <c r="Z1157" s="5">
        <v>1155.0</v>
      </c>
      <c r="AA1157" s="5">
        <v>1681747.0</v>
      </c>
    </row>
    <row r="1158">
      <c r="Z1158" s="5">
        <v>1156.0</v>
      </c>
      <c r="AA1158" s="5">
        <v>1679583.0</v>
      </c>
    </row>
    <row r="1159">
      <c r="Z1159" s="5">
        <v>1157.0</v>
      </c>
      <c r="AA1159" s="5">
        <v>1679032.0</v>
      </c>
    </row>
    <row r="1160">
      <c r="Z1160" s="5">
        <v>1158.0</v>
      </c>
      <c r="AA1160" s="5">
        <v>1678571.0</v>
      </c>
    </row>
    <row r="1161">
      <c r="Z1161" s="5">
        <v>1159.0</v>
      </c>
      <c r="AA1161" s="5">
        <v>1675685.0</v>
      </c>
    </row>
    <row r="1162">
      <c r="Z1162" s="5">
        <v>1160.0</v>
      </c>
      <c r="AA1162" s="5">
        <v>1675058.0</v>
      </c>
    </row>
    <row r="1163">
      <c r="Z1163" s="5">
        <v>1161.0</v>
      </c>
      <c r="AA1163" s="5">
        <v>1673543.0</v>
      </c>
    </row>
    <row r="1164">
      <c r="Z1164" s="5">
        <v>1162.0</v>
      </c>
      <c r="AA1164" s="5">
        <v>1673134.0</v>
      </c>
    </row>
    <row r="1165">
      <c r="Z1165" s="5">
        <v>1163.0</v>
      </c>
      <c r="AA1165" s="5">
        <v>1672988.0</v>
      </c>
    </row>
    <row r="1166">
      <c r="Z1166" s="5">
        <v>1164.0</v>
      </c>
      <c r="AA1166" s="5">
        <v>1672984.0</v>
      </c>
    </row>
    <row r="1167">
      <c r="Z1167" s="5">
        <v>1165.0</v>
      </c>
      <c r="AA1167" s="5">
        <v>1672896.0</v>
      </c>
    </row>
    <row r="1168">
      <c r="Z1168" s="5">
        <v>1166.0</v>
      </c>
      <c r="AA1168" s="5">
        <v>1671947.0</v>
      </c>
    </row>
    <row r="1169">
      <c r="Z1169" s="5">
        <v>1167.0</v>
      </c>
      <c r="AA1169" s="5">
        <v>1670776.0</v>
      </c>
    </row>
    <row r="1170">
      <c r="Z1170" s="5">
        <v>1168.0</v>
      </c>
      <c r="AA1170" s="5">
        <v>1668217.0</v>
      </c>
    </row>
    <row r="1171">
      <c r="Z1171" s="5">
        <v>1169.0</v>
      </c>
      <c r="AA1171" s="5">
        <v>1668064.0</v>
      </c>
    </row>
    <row r="1172">
      <c r="Z1172" s="5">
        <v>1170.0</v>
      </c>
      <c r="AA1172" s="5">
        <v>1667578.0</v>
      </c>
    </row>
    <row r="1173">
      <c r="Z1173" s="5">
        <v>1171.0</v>
      </c>
      <c r="AA1173" s="5">
        <v>1667538.0</v>
      </c>
    </row>
    <row r="1174">
      <c r="Z1174" s="5">
        <v>1172.0</v>
      </c>
      <c r="AA1174" s="5">
        <v>1667524.0</v>
      </c>
    </row>
    <row r="1175">
      <c r="Z1175" s="5">
        <v>1173.0</v>
      </c>
      <c r="AA1175" s="5">
        <v>1666969.0</v>
      </c>
    </row>
    <row r="1176">
      <c r="Z1176" s="5">
        <v>1174.0</v>
      </c>
      <c r="AA1176" s="5">
        <v>1666698.0</v>
      </c>
    </row>
    <row r="1177">
      <c r="Z1177" s="5">
        <v>1175.0</v>
      </c>
      <c r="AA1177" s="5">
        <v>1666618.0</v>
      </c>
    </row>
    <row r="1178">
      <c r="Z1178" s="5">
        <v>1176.0</v>
      </c>
      <c r="AA1178" s="5">
        <v>1666618.0</v>
      </c>
    </row>
    <row r="1179">
      <c r="Z1179" s="5">
        <v>1177.0</v>
      </c>
      <c r="AA1179" s="5">
        <v>1666052.0</v>
      </c>
    </row>
    <row r="1180">
      <c r="Z1180" s="5">
        <v>1178.0</v>
      </c>
      <c r="AA1180" s="5">
        <v>1664433.0</v>
      </c>
    </row>
    <row r="1181">
      <c r="Z1181" s="5">
        <v>1179.0</v>
      </c>
      <c r="AA1181" s="5">
        <v>1663927.0</v>
      </c>
    </row>
    <row r="1182">
      <c r="Z1182" s="5">
        <v>1180.0</v>
      </c>
      <c r="AA1182" s="5">
        <v>1663711.0</v>
      </c>
    </row>
    <row r="1183">
      <c r="Z1183" s="5">
        <v>1181.0</v>
      </c>
      <c r="AA1183" s="5">
        <v>1663349.0</v>
      </c>
    </row>
    <row r="1184">
      <c r="Z1184" s="5">
        <v>1182.0</v>
      </c>
      <c r="AA1184" s="5">
        <v>1661603.0</v>
      </c>
    </row>
    <row r="1185">
      <c r="Z1185" s="5">
        <v>1183.0</v>
      </c>
      <c r="AA1185" s="5">
        <v>1661155.0</v>
      </c>
    </row>
    <row r="1186">
      <c r="Z1186" s="5">
        <v>1184.0</v>
      </c>
      <c r="AA1186" s="5">
        <v>1660700.0</v>
      </c>
    </row>
    <row r="1187">
      <c r="Z1187" s="5">
        <v>1185.0</v>
      </c>
      <c r="AA1187" s="5">
        <v>1659230.0</v>
      </c>
    </row>
    <row r="1188">
      <c r="Z1188" s="5">
        <v>1186.0</v>
      </c>
      <c r="AA1188" s="5">
        <v>1656708.0</v>
      </c>
    </row>
    <row r="1189">
      <c r="Z1189" s="5">
        <v>1187.0</v>
      </c>
      <c r="AA1189" s="5">
        <v>1656392.0</v>
      </c>
    </row>
    <row r="1190">
      <c r="Z1190" s="5">
        <v>1188.0</v>
      </c>
      <c r="AA1190" s="5">
        <v>1655880.0</v>
      </c>
    </row>
    <row r="1191">
      <c r="Z1191" s="5">
        <v>1189.0</v>
      </c>
      <c r="AA1191" s="5">
        <v>1654681.0</v>
      </c>
    </row>
    <row r="1192">
      <c r="Z1192" s="5">
        <v>1190.0</v>
      </c>
      <c r="AA1192" s="5">
        <v>1653874.0</v>
      </c>
    </row>
    <row r="1193">
      <c r="Z1193" s="5">
        <v>1191.0</v>
      </c>
      <c r="AA1193" s="5">
        <v>1653718.0</v>
      </c>
    </row>
    <row r="1194">
      <c r="Z1194" s="5">
        <v>1192.0</v>
      </c>
      <c r="AA1194" s="5">
        <v>1650914.0</v>
      </c>
    </row>
    <row r="1195">
      <c r="Z1195" s="5">
        <v>1193.0</v>
      </c>
      <c r="AA1195" s="5">
        <v>1650479.0</v>
      </c>
    </row>
    <row r="1196">
      <c r="Z1196" s="5">
        <v>1194.0</v>
      </c>
      <c r="AA1196" s="5">
        <v>1648879.0</v>
      </c>
    </row>
    <row r="1197">
      <c r="Z1197" s="5">
        <v>1195.0</v>
      </c>
      <c r="AA1197" s="5">
        <v>1648173.0</v>
      </c>
    </row>
    <row r="1198">
      <c r="Z1198" s="5">
        <v>1196.0</v>
      </c>
      <c r="AA1198" s="5">
        <v>1644898.0</v>
      </c>
    </row>
    <row r="1199">
      <c r="Z1199" s="5">
        <v>1197.0</v>
      </c>
      <c r="AA1199" s="5">
        <v>1644896.0</v>
      </c>
    </row>
    <row r="1200">
      <c r="Z1200" s="5">
        <v>1198.0</v>
      </c>
      <c r="AA1200" s="5">
        <v>1644522.0</v>
      </c>
    </row>
    <row r="1201">
      <c r="Z1201" s="5">
        <v>1199.0</v>
      </c>
      <c r="AA1201" s="5">
        <v>1644372.0</v>
      </c>
    </row>
    <row r="1202">
      <c r="Z1202" s="5">
        <v>1200.0</v>
      </c>
      <c r="AA1202" s="5">
        <v>1644172.0</v>
      </c>
    </row>
    <row r="1203">
      <c r="Z1203" s="5">
        <v>1201.0</v>
      </c>
      <c r="AA1203" s="5">
        <v>1642594.0</v>
      </c>
    </row>
    <row r="1204">
      <c r="Z1204" s="5">
        <v>1202.0</v>
      </c>
      <c r="AA1204" s="5">
        <v>1642410.0</v>
      </c>
    </row>
    <row r="1205">
      <c r="Z1205" s="5">
        <v>1203.0</v>
      </c>
      <c r="AA1205" s="5">
        <v>1640488.0</v>
      </c>
    </row>
    <row r="1206">
      <c r="Z1206" s="5">
        <v>1204.0</v>
      </c>
      <c r="AA1206" s="5">
        <v>1637762.0</v>
      </c>
    </row>
    <row r="1207">
      <c r="Z1207" s="5">
        <v>1205.0</v>
      </c>
      <c r="AA1207" s="5">
        <v>1637723.0</v>
      </c>
    </row>
    <row r="1208">
      <c r="Z1208" s="5">
        <v>1206.0</v>
      </c>
      <c r="AA1208" s="5">
        <v>1636242.0</v>
      </c>
    </row>
    <row r="1209">
      <c r="Z1209" s="5">
        <v>1207.0</v>
      </c>
      <c r="AA1209" s="5">
        <v>1635420.0</v>
      </c>
    </row>
    <row r="1210">
      <c r="Z1210" s="5">
        <v>1208.0</v>
      </c>
      <c r="AA1210" s="5">
        <v>1634920.0</v>
      </c>
    </row>
    <row r="1211">
      <c r="Z1211" s="5">
        <v>1209.0</v>
      </c>
      <c r="AA1211" s="5">
        <v>1634667.0</v>
      </c>
    </row>
    <row r="1212">
      <c r="Z1212" s="5">
        <v>1210.0</v>
      </c>
      <c r="AA1212" s="5">
        <v>1633796.0</v>
      </c>
    </row>
    <row r="1213">
      <c r="Z1213" s="5">
        <v>1211.0</v>
      </c>
      <c r="AA1213" s="5">
        <v>1633463.0</v>
      </c>
    </row>
    <row r="1214">
      <c r="Z1214" s="5">
        <v>1212.0</v>
      </c>
      <c r="AA1214" s="5">
        <v>1632170.0</v>
      </c>
    </row>
    <row r="1215">
      <c r="Z1215" s="5">
        <v>1213.0</v>
      </c>
      <c r="AA1215" s="5">
        <v>1632165.0</v>
      </c>
    </row>
    <row r="1216">
      <c r="Z1216" s="5">
        <v>1214.0</v>
      </c>
      <c r="AA1216" s="5">
        <v>1632065.0</v>
      </c>
    </row>
    <row r="1217">
      <c r="Z1217" s="5">
        <v>1215.0</v>
      </c>
      <c r="AA1217" s="5">
        <v>1630343.0</v>
      </c>
    </row>
    <row r="1218">
      <c r="Z1218" s="5">
        <v>1216.0</v>
      </c>
      <c r="AA1218" s="5">
        <v>1630265.0</v>
      </c>
    </row>
    <row r="1219">
      <c r="Z1219" s="5">
        <v>1217.0</v>
      </c>
      <c r="AA1219" s="5">
        <v>1629059.0</v>
      </c>
    </row>
    <row r="1220">
      <c r="Z1220" s="5">
        <v>1218.0</v>
      </c>
      <c r="AA1220" s="5">
        <v>1629048.0</v>
      </c>
    </row>
    <row r="1221">
      <c r="Z1221" s="5">
        <v>1219.0</v>
      </c>
      <c r="AA1221" s="5">
        <v>1626865.0</v>
      </c>
    </row>
    <row r="1222">
      <c r="Z1222" s="5">
        <v>1220.0</v>
      </c>
      <c r="AA1222" s="5">
        <v>1626127.0</v>
      </c>
    </row>
    <row r="1223">
      <c r="Z1223" s="5">
        <v>1221.0</v>
      </c>
      <c r="AA1223" s="5">
        <v>1624754.0</v>
      </c>
    </row>
    <row r="1224">
      <c r="Z1224" s="5">
        <v>1222.0</v>
      </c>
      <c r="AA1224" s="5">
        <v>1622047.0</v>
      </c>
    </row>
    <row r="1225">
      <c r="Z1225" s="5">
        <v>1223.0</v>
      </c>
      <c r="AA1225" s="5">
        <v>1621902.0</v>
      </c>
    </row>
    <row r="1226">
      <c r="Z1226" s="5">
        <v>1224.0</v>
      </c>
      <c r="AA1226" s="5">
        <v>1617903.0</v>
      </c>
    </row>
    <row r="1227">
      <c r="Z1227" s="5">
        <v>1225.0</v>
      </c>
      <c r="AA1227" s="5">
        <v>1615856.0</v>
      </c>
    </row>
    <row r="1228">
      <c r="Z1228" s="5">
        <v>1226.0</v>
      </c>
      <c r="AA1228" s="5">
        <v>1612469.0</v>
      </c>
    </row>
    <row r="1229">
      <c r="Z1229" s="5">
        <v>1227.0</v>
      </c>
      <c r="AA1229" s="5">
        <v>1609686.0</v>
      </c>
    </row>
    <row r="1230">
      <c r="Z1230" s="5">
        <v>1228.0</v>
      </c>
      <c r="AA1230" s="5">
        <v>1607402.0</v>
      </c>
    </row>
    <row r="1231">
      <c r="Z1231" s="5">
        <v>1229.0</v>
      </c>
      <c r="AA1231" s="5">
        <v>1607305.0</v>
      </c>
    </row>
    <row r="1232">
      <c r="Z1232" s="5">
        <v>1230.0</v>
      </c>
      <c r="AA1232" s="5">
        <v>1606063.0</v>
      </c>
    </row>
    <row r="1233">
      <c r="Z1233" s="5">
        <v>1231.0</v>
      </c>
      <c r="AA1233" s="5">
        <v>1605187.0</v>
      </c>
    </row>
    <row r="1234">
      <c r="Z1234" s="5">
        <v>1232.0</v>
      </c>
      <c r="AA1234" s="5">
        <v>1604354.0</v>
      </c>
    </row>
    <row r="1235">
      <c r="Z1235" s="5">
        <v>1233.0</v>
      </c>
      <c r="AA1235" s="5">
        <v>1603043.0</v>
      </c>
    </row>
    <row r="1236">
      <c r="Z1236" s="5">
        <v>1234.0</v>
      </c>
      <c r="AA1236" s="5">
        <v>1601569.0</v>
      </c>
    </row>
    <row r="1237">
      <c r="Z1237" s="5">
        <v>1235.0</v>
      </c>
      <c r="AA1237" s="5">
        <v>1600798.0</v>
      </c>
    </row>
    <row r="1238">
      <c r="Z1238" s="5">
        <v>1236.0</v>
      </c>
      <c r="AA1238" s="5">
        <v>1599192.0</v>
      </c>
    </row>
    <row r="1239">
      <c r="Z1239" s="5">
        <v>1237.0</v>
      </c>
      <c r="AA1239" s="5">
        <v>1597779.0</v>
      </c>
    </row>
    <row r="1240">
      <c r="Z1240" s="5">
        <v>1238.0</v>
      </c>
      <c r="AA1240" s="5">
        <v>1597693.0</v>
      </c>
    </row>
    <row r="1241">
      <c r="Z1241" s="5">
        <v>1239.0</v>
      </c>
      <c r="AA1241" s="5">
        <v>1595725.0</v>
      </c>
    </row>
    <row r="1242">
      <c r="Z1242" s="5">
        <v>1240.0</v>
      </c>
      <c r="AA1242" s="5">
        <v>1595494.0</v>
      </c>
    </row>
    <row r="1243">
      <c r="Z1243" s="5">
        <v>1241.0</v>
      </c>
      <c r="AA1243" s="5">
        <v>1593490.0</v>
      </c>
    </row>
    <row r="1244">
      <c r="Z1244" s="5">
        <v>1242.0</v>
      </c>
      <c r="AA1244" s="5">
        <v>1593030.0</v>
      </c>
    </row>
    <row r="1245">
      <c r="Z1245" s="5">
        <v>1243.0</v>
      </c>
      <c r="AA1245" s="5">
        <v>1591369.0</v>
      </c>
    </row>
    <row r="1246">
      <c r="Z1246" s="5">
        <v>1244.0</v>
      </c>
      <c r="AA1246" s="5">
        <v>1591122.0</v>
      </c>
    </row>
    <row r="1247">
      <c r="Z1247" s="5">
        <v>1245.0</v>
      </c>
      <c r="AA1247" s="5">
        <v>1588714.0</v>
      </c>
    </row>
    <row r="1248">
      <c r="Z1248" s="5">
        <v>1246.0</v>
      </c>
      <c r="AA1248" s="5">
        <v>1588701.0</v>
      </c>
    </row>
    <row r="1249">
      <c r="Z1249" s="5">
        <v>1247.0</v>
      </c>
      <c r="AA1249" s="5">
        <v>1586731.0</v>
      </c>
    </row>
    <row r="1250">
      <c r="Z1250" s="5">
        <v>1248.0</v>
      </c>
      <c r="AA1250" s="5">
        <v>1584995.0</v>
      </c>
    </row>
    <row r="1251">
      <c r="Z1251" s="5">
        <v>1249.0</v>
      </c>
      <c r="AA1251" s="5">
        <v>1584833.0</v>
      </c>
    </row>
    <row r="1252">
      <c r="Z1252" s="5">
        <v>1250.0</v>
      </c>
      <c r="AA1252" s="5">
        <v>1583776.0</v>
      </c>
    </row>
    <row r="1253">
      <c r="Z1253" s="5">
        <v>1251.0</v>
      </c>
      <c r="AA1253" s="5">
        <v>1583466.0</v>
      </c>
    </row>
    <row r="1254">
      <c r="Z1254" s="5">
        <v>1252.0</v>
      </c>
      <c r="AA1254" s="5">
        <v>1582956.0</v>
      </c>
    </row>
    <row r="1255">
      <c r="Z1255" s="5">
        <v>1253.0</v>
      </c>
      <c r="AA1255" s="5">
        <v>1581725.0</v>
      </c>
    </row>
    <row r="1256">
      <c r="Z1256" s="5">
        <v>1254.0</v>
      </c>
      <c r="AA1256" s="5">
        <v>1581065.0</v>
      </c>
    </row>
    <row r="1257">
      <c r="Z1257" s="5">
        <v>1255.0</v>
      </c>
      <c r="AA1257" s="5">
        <v>1580526.0</v>
      </c>
    </row>
    <row r="1258">
      <c r="Z1258" s="5">
        <v>1256.0</v>
      </c>
      <c r="AA1258" s="5">
        <v>1578770.0</v>
      </c>
    </row>
    <row r="1259">
      <c r="Z1259" s="5">
        <v>1257.0</v>
      </c>
      <c r="AA1259" s="5">
        <v>1574245.0</v>
      </c>
    </row>
    <row r="1260">
      <c r="Z1260" s="5">
        <v>1258.0</v>
      </c>
      <c r="AA1260" s="5">
        <v>1573219.0</v>
      </c>
    </row>
    <row r="1261">
      <c r="Z1261" s="5">
        <v>1259.0</v>
      </c>
      <c r="AA1261" s="5">
        <v>1572362.0</v>
      </c>
    </row>
    <row r="1262">
      <c r="Z1262" s="5">
        <v>1260.0</v>
      </c>
      <c r="AA1262" s="5">
        <v>1570583.0</v>
      </c>
    </row>
    <row r="1263">
      <c r="Z1263" s="5">
        <v>1261.0</v>
      </c>
      <c r="AA1263" s="5">
        <v>1570147.0</v>
      </c>
    </row>
    <row r="1264">
      <c r="Z1264" s="5">
        <v>1262.0</v>
      </c>
      <c r="AA1264" s="5">
        <v>1569678.0</v>
      </c>
    </row>
    <row r="1265">
      <c r="Z1265" s="5">
        <v>1263.0</v>
      </c>
      <c r="AA1265" s="5">
        <v>1565233.0</v>
      </c>
    </row>
    <row r="1266">
      <c r="Z1266" s="5">
        <v>1264.0</v>
      </c>
      <c r="AA1266" s="5">
        <v>1564387.0</v>
      </c>
    </row>
    <row r="1267">
      <c r="Z1267" s="5">
        <v>1265.0</v>
      </c>
      <c r="AA1267" s="5">
        <v>1563829.0</v>
      </c>
    </row>
    <row r="1268">
      <c r="Z1268" s="5">
        <v>1266.0</v>
      </c>
      <c r="AA1268" s="5">
        <v>1560561.0</v>
      </c>
    </row>
    <row r="1269">
      <c r="Z1269" s="5">
        <v>1267.0</v>
      </c>
      <c r="AA1269" s="5">
        <v>1556916.0</v>
      </c>
    </row>
    <row r="1270">
      <c r="Z1270" s="5">
        <v>1268.0</v>
      </c>
      <c r="AA1270" s="5">
        <v>1556746.0</v>
      </c>
    </row>
    <row r="1271">
      <c r="Z1271" s="5">
        <v>1269.0</v>
      </c>
      <c r="AA1271" s="5">
        <v>1556680.0</v>
      </c>
    </row>
    <row r="1272">
      <c r="Z1272" s="5">
        <v>1270.0</v>
      </c>
      <c r="AA1272" s="5">
        <v>1556563.0</v>
      </c>
    </row>
    <row r="1273">
      <c r="Z1273" s="5">
        <v>1271.0</v>
      </c>
      <c r="AA1273" s="5">
        <v>1550409.0</v>
      </c>
    </row>
    <row r="1274">
      <c r="Z1274" s="5">
        <v>1272.0</v>
      </c>
      <c r="AA1274" s="5">
        <v>1549530.0</v>
      </c>
    </row>
    <row r="1275">
      <c r="Z1275" s="5">
        <v>1273.0</v>
      </c>
      <c r="AA1275" s="5">
        <v>1549059.0</v>
      </c>
    </row>
    <row r="1276">
      <c r="Z1276" s="5">
        <v>1274.0</v>
      </c>
      <c r="AA1276" s="5">
        <v>1548414.0</v>
      </c>
    </row>
    <row r="1277">
      <c r="Z1277" s="5">
        <v>1275.0</v>
      </c>
      <c r="AA1277" s="5">
        <v>1547796.0</v>
      </c>
    </row>
    <row r="1278">
      <c r="Z1278" s="5">
        <v>1276.0</v>
      </c>
      <c r="AA1278" s="5">
        <v>1547079.0</v>
      </c>
    </row>
    <row r="1279">
      <c r="Z1279" s="5">
        <v>1277.0</v>
      </c>
      <c r="AA1279" s="5">
        <v>1546381.0</v>
      </c>
    </row>
    <row r="1280">
      <c r="Z1280" s="5">
        <v>1278.0</v>
      </c>
      <c r="AA1280" s="5">
        <v>1544059.0</v>
      </c>
    </row>
    <row r="1281">
      <c r="Z1281" s="5">
        <v>1279.0</v>
      </c>
      <c r="AA1281" s="5">
        <v>1542250.0</v>
      </c>
    </row>
    <row r="1282">
      <c r="Z1282" s="5">
        <v>1280.0</v>
      </c>
      <c r="AA1282" s="5">
        <v>1539885.0</v>
      </c>
    </row>
    <row r="1283">
      <c r="Z1283" s="5">
        <v>1281.0</v>
      </c>
      <c r="AA1283" s="5">
        <v>1538891.0</v>
      </c>
    </row>
    <row r="1284">
      <c r="Z1284" s="5">
        <v>1282.0</v>
      </c>
      <c r="AA1284" s="5">
        <v>1537824.0</v>
      </c>
    </row>
    <row r="1285">
      <c r="Z1285" s="5">
        <v>1283.0</v>
      </c>
      <c r="AA1285" s="5">
        <v>1536624.0</v>
      </c>
    </row>
    <row r="1286">
      <c r="Z1286" s="5">
        <v>1284.0</v>
      </c>
      <c r="AA1286" s="5">
        <v>1535529.0</v>
      </c>
    </row>
    <row r="1287">
      <c r="Z1287" s="5">
        <v>1285.0</v>
      </c>
      <c r="AA1287" s="5">
        <v>1534788.0</v>
      </c>
    </row>
    <row r="1288">
      <c r="Z1288" s="5">
        <v>1286.0</v>
      </c>
      <c r="AA1288" s="5">
        <v>1534671.0</v>
      </c>
    </row>
    <row r="1289">
      <c r="Z1289" s="5">
        <v>1287.0</v>
      </c>
      <c r="AA1289" s="5">
        <v>1534159.0</v>
      </c>
    </row>
    <row r="1290">
      <c r="Z1290" s="5">
        <v>1288.0</v>
      </c>
      <c r="AA1290" s="5">
        <v>1533991.0</v>
      </c>
    </row>
    <row r="1291">
      <c r="Z1291" s="5">
        <v>1289.0</v>
      </c>
      <c r="AA1291" s="5">
        <v>1533538.0</v>
      </c>
    </row>
    <row r="1292">
      <c r="Z1292" s="5">
        <v>1290.0</v>
      </c>
      <c r="AA1292" s="5">
        <v>1529587.0</v>
      </c>
    </row>
    <row r="1293">
      <c r="Z1293" s="5">
        <v>1291.0</v>
      </c>
      <c r="AA1293" s="5">
        <v>1529463.0</v>
      </c>
    </row>
    <row r="1294">
      <c r="Z1294" s="5">
        <v>1292.0</v>
      </c>
      <c r="AA1294" s="5">
        <v>1528177.0</v>
      </c>
    </row>
    <row r="1295">
      <c r="Z1295" s="5">
        <v>1293.0</v>
      </c>
      <c r="AA1295" s="5">
        <v>1527697.0</v>
      </c>
    </row>
    <row r="1296">
      <c r="Z1296" s="5">
        <v>1294.0</v>
      </c>
      <c r="AA1296" s="5">
        <v>1526251.0</v>
      </c>
    </row>
    <row r="1297">
      <c r="Z1297" s="5">
        <v>1295.0</v>
      </c>
      <c r="AA1297" s="5">
        <v>1525191.0</v>
      </c>
    </row>
    <row r="1298">
      <c r="Z1298" s="5">
        <v>1296.0</v>
      </c>
      <c r="AA1298" s="5">
        <v>1523311.0</v>
      </c>
    </row>
    <row r="1299">
      <c r="Z1299" s="5">
        <v>1297.0</v>
      </c>
      <c r="AA1299" s="5">
        <v>1523189.0</v>
      </c>
    </row>
    <row r="1300">
      <c r="Z1300" s="5">
        <v>1298.0</v>
      </c>
      <c r="AA1300" s="5">
        <v>1522086.0</v>
      </c>
    </row>
    <row r="1301">
      <c r="Z1301" s="5">
        <v>1299.0</v>
      </c>
      <c r="AA1301" s="5">
        <v>1520194.0</v>
      </c>
    </row>
    <row r="1302">
      <c r="Z1302" s="5">
        <v>1300.0</v>
      </c>
      <c r="AA1302" s="5">
        <v>1519024.0</v>
      </c>
    </row>
    <row r="1303">
      <c r="Z1303" s="5">
        <v>1301.0</v>
      </c>
      <c r="AA1303" s="5">
        <v>1517934.0</v>
      </c>
    </row>
    <row r="1304">
      <c r="Z1304" s="5">
        <v>1302.0</v>
      </c>
      <c r="AA1304" s="5">
        <v>1517109.0</v>
      </c>
    </row>
    <row r="1305">
      <c r="Z1305" s="5">
        <v>1303.0</v>
      </c>
      <c r="AA1305" s="5">
        <v>1513055.0</v>
      </c>
    </row>
    <row r="1306">
      <c r="Z1306" s="5">
        <v>1304.0</v>
      </c>
      <c r="AA1306" s="5">
        <v>1511103.0</v>
      </c>
    </row>
    <row r="1307">
      <c r="Z1307" s="5">
        <v>1305.0</v>
      </c>
      <c r="AA1307" s="5">
        <v>1510607.0</v>
      </c>
    </row>
    <row r="1308">
      <c r="Z1308" s="5">
        <v>1306.0</v>
      </c>
      <c r="AA1308" s="5">
        <v>1508428.0</v>
      </c>
    </row>
    <row r="1309">
      <c r="Z1309" s="5">
        <v>1307.0</v>
      </c>
      <c r="AA1309" s="5">
        <v>1507992.0</v>
      </c>
    </row>
    <row r="1310">
      <c r="Z1310" s="5">
        <v>1308.0</v>
      </c>
      <c r="AA1310" s="5">
        <v>1507146.0</v>
      </c>
    </row>
    <row r="1311">
      <c r="Z1311" s="5">
        <v>1309.0</v>
      </c>
      <c r="AA1311" s="5">
        <v>1506108.0</v>
      </c>
    </row>
    <row r="1312">
      <c r="Z1312" s="5">
        <v>1310.0</v>
      </c>
      <c r="AA1312" s="5">
        <v>1505446.0</v>
      </c>
    </row>
    <row r="1313">
      <c r="Z1313" s="5">
        <v>1311.0</v>
      </c>
      <c r="AA1313" s="5">
        <v>1502389.0</v>
      </c>
    </row>
    <row r="1314">
      <c r="Z1314" s="5">
        <v>1312.0</v>
      </c>
      <c r="AA1314" s="5">
        <v>1501780.0</v>
      </c>
    </row>
    <row r="1315">
      <c r="Z1315" s="5">
        <v>1313.0</v>
      </c>
      <c r="AA1315" s="5">
        <v>1500592.0</v>
      </c>
    </row>
    <row r="1316">
      <c r="Z1316" s="5">
        <v>1314.0</v>
      </c>
      <c r="AA1316" s="5">
        <v>1499588.0</v>
      </c>
    </row>
    <row r="1317">
      <c r="Z1317" s="5">
        <v>1315.0</v>
      </c>
      <c r="AA1317" s="5">
        <v>1499102.0</v>
      </c>
    </row>
    <row r="1318">
      <c r="Z1318" s="5">
        <v>1316.0</v>
      </c>
      <c r="AA1318" s="5">
        <v>1497859.0</v>
      </c>
    </row>
    <row r="1319">
      <c r="Z1319" s="5">
        <v>1317.0</v>
      </c>
      <c r="AA1319" s="5">
        <v>1497316.0</v>
      </c>
    </row>
    <row r="1320">
      <c r="Z1320" s="5">
        <v>1318.0</v>
      </c>
      <c r="AA1320" s="5">
        <v>1496109.0</v>
      </c>
    </row>
    <row r="1321">
      <c r="Z1321" s="5">
        <v>1319.0</v>
      </c>
      <c r="AA1321" s="5">
        <v>1495380.0</v>
      </c>
    </row>
    <row r="1322">
      <c r="Z1322" s="5">
        <v>1320.0</v>
      </c>
      <c r="AA1322" s="5">
        <v>1491344.0</v>
      </c>
    </row>
    <row r="1323">
      <c r="Z1323" s="5">
        <v>1321.0</v>
      </c>
      <c r="AA1323" s="5">
        <v>1490272.0</v>
      </c>
    </row>
    <row r="1324">
      <c r="Z1324" s="5">
        <v>1322.0</v>
      </c>
      <c r="AA1324" s="5">
        <v>1489747.0</v>
      </c>
    </row>
    <row r="1325">
      <c r="Z1325" s="5">
        <v>1323.0</v>
      </c>
      <c r="AA1325" s="5">
        <v>1485155.0</v>
      </c>
    </row>
    <row r="1326">
      <c r="Z1326" s="5">
        <v>1324.0</v>
      </c>
      <c r="AA1326" s="5">
        <v>1485148.0</v>
      </c>
    </row>
    <row r="1327">
      <c r="Z1327" s="5">
        <v>1325.0</v>
      </c>
      <c r="AA1327" s="5">
        <v>1484460.0</v>
      </c>
    </row>
    <row r="1328">
      <c r="Z1328" s="5">
        <v>1326.0</v>
      </c>
      <c r="AA1328" s="5">
        <v>1483202.0</v>
      </c>
    </row>
    <row r="1329">
      <c r="Z1329" s="5">
        <v>1327.0</v>
      </c>
      <c r="AA1329" s="5">
        <v>1481436.0</v>
      </c>
    </row>
    <row r="1330">
      <c r="Z1330" s="5">
        <v>1328.0</v>
      </c>
      <c r="AA1330" s="5">
        <v>1479163.0</v>
      </c>
    </row>
    <row r="1331">
      <c r="Z1331" s="5">
        <v>1329.0</v>
      </c>
      <c r="AA1331" s="5">
        <v>1477144.0</v>
      </c>
    </row>
    <row r="1332">
      <c r="Z1332" s="5">
        <v>1330.0</v>
      </c>
      <c r="AA1332" s="5">
        <v>1476824.0</v>
      </c>
    </row>
    <row r="1333">
      <c r="Z1333" s="5">
        <v>1331.0</v>
      </c>
      <c r="AA1333" s="5">
        <v>1475297.0</v>
      </c>
    </row>
    <row r="1334">
      <c r="Z1334" s="5">
        <v>1332.0</v>
      </c>
      <c r="AA1334" s="5">
        <v>1474624.0</v>
      </c>
    </row>
    <row r="1335">
      <c r="Z1335" s="5">
        <v>1333.0</v>
      </c>
      <c r="AA1335" s="5">
        <v>1474335.0</v>
      </c>
    </row>
    <row r="1336">
      <c r="Z1336" s="5">
        <v>1334.0</v>
      </c>
      <c r="AA1336" s="5">
        <v>1473746.0</v>
      </c>
    </row>
    <row r="1337">
      <c r="Z1337" s="5">
        <v>1335.0</v>
      </c>
      <c r="AA1337" s="5">
        <v>1473388.0</v>
      </c>
    </row>
    <row r="1338">
      <c r="Z1338" s="5">
        <v>1336.0</v>
      </c>
      <c r="AA1338" s="5">
        <v>1472442.0</v>
      </c>
    </row>
    <row r="1339">
      <c r="Z1339" s="5">
        <v>1337.0</v>
      </c>
      <c r="AA1339" s="5">
        <v>1472089.0</v>
      </c>
    </row>
    <row r="1340">
      <c r="Z1340" s="5">
        <v>1338.0</v>
      </c>
      <c r="AA1340" s="5">
        <v>1472069.0</v>
      </c>
    </row>
    <row r="1341">
      <c r="Z1341" s="5">
        <v>1339.0</v>
      </c>
      <c r="AA1341" s="5">
        <v>1469382.0</v>
      </c>
    </row>
    <row r="1342">
      <c r="Z1342" s="5">
        <v>1340.0</v>
      </c>
      <c r="AA1342" s="5">
        <v>1468814.0</v>
      </c>
    </row>
    <row r="1343">
      <c r="Z1343" s="5">
        <v>1341.0</v>
      </c>
      <c r="AA1343" s="5">
        <v>1466898.0</v>
      </c>
    </row>
    <row r="1344">
      <c r="Z1344" s="5">
        <v>1342.0</v>
      </c>
      <c r="AA1344" s="5">
        <v>1466187.0</v>
      </c>
    </row>
    <row r="1345">
      <c r="Z1345" s="5">
        <v>1343.0</v>
      </c>
      <c r="AA1345" s="5">
        <v>1464520.0</v>
      </c>
    </row>
    <row r="1346">
      <c r="Z1346" s="5">
        <v>1344.0</v>
      </c>
      <c r="AA1346" s="5">
        <v>1463809.0</v>
      </c>
    </row>
    <row r="1347">
      <c r="Z1347" s="5">
        <v>1345.0</v>
      </c>
      <c r="AA1347" s="5">
        <v>1461844.0</v>
      </c>
    </row>
    <row r="1348">
      <c r="Z1348" s="5">
        <v>1346.0</v>
      </c>
      <c r="AA1348" s="5">
        <v>1461444.0</v>
      </c>
    </row>
    <row r="1349">
      <c r="Z1349" s="5">
        <v>1347.0</v>
      </c>
      <c r="AA1349" s="5">
        <v>1461062.0</v>
      </c>
    </row>
    <row r="1350">
      <c r="Z1350" s="5">
        <v>1348.0</v>
      </c>
      <c r="AA1350" s="5">
        <v>1461030.0</v>
      </c>
    </row>
    <row r="1351">
      <c r="Z1351" s="5">
        <v>1349.0</v>
      </c>
      <c r="AA1351" s="5">
        <v>1456896.0</v>
      </c>
    </row>
    <row r="1352">
      <c r="Z1352" s="5">
        <v>1350.0</v>
      </c>
      <c r="AA1352" s="5">
        <v>1455905.0</v>
      </c>
    </row>
    <row r="1353">
      <c r="Z1353" s="5">
        <v>1351.0</v>
      </c>
      <c r="AA1353" s="5">
        <v>1449244.0</v>
      </c>
    </row>
    <row r="1354">
      <c r="Z1354" s="5">
        <v>1352.0</v>
      </c>
      <c r="AA1354" s="5">
        <v>1448737.0</v>
      </c>
    </row>
    <row r="1355">
      <c r="Z1355" s="5">
        <v>1353.0</v>
      </c>
      <c r="AA1355" s="5">
        <v>1447541.0</v>
      </c>
    </row>
    <row r="1356">
      <c r="Z1356" s="5">
        <v>1354.0</v>
      </c>
      <c r="AA1356" s="5">
        <v>1447021.0</v>
      </c>
    </row>
    <row r="1357">
      <c r="Z1357" s="5">
        <v>1355.0</v>
      </c>
      <c r="AA1357" s="5">
        <v>1446565.0</v>
      </c>
    </row>
    <row r="1358">
      <c r="Z1358" s="5">
        <v>1356.0</v>
      </c>
      <c r="AA1358" s="5">
        <v>1445125.0</v>
      </c>
    </row>
    <row r="1359">
      <c r="Z1359" s="5">
        <v>1357.0</v>
      </c>
      <c r="AA1359" s="5">
        <v>1444723.0</v>
      </c>
    </row>
    <row r="1360">
      <c r="Z1360" s="5">
        <v>1358.0</v>
      </c>
      <c r="AA1360" s="5">
        <v>1444579.0</v>
      </c>
    </row>
    <row r="1361">
      <c r="Z1361" s="5">
        <v>1359.0</v>
      </c>
      <c r="AA1361" s="5">
        <v>1444225.0</v>
      </c>
    </row>
    <row r="1362">
      <c r="Z1362" s="5">
        <v>1360.0</v>
      </c>
      <c r="AA1362" s="5">
        <v>1442035.0</v>
      </c>
    </row>
    <row r="1363">
      <c r="Z1363" s="5">
        <v>1361.0</v>
      </c>
      <c r="AA1363" s="5">
        <v>1440027.0</v>
      </c>
    </row>
    <row r="1364">
      <c r="Z1364" s="5">
        <v>1362.0</v>
      </c>
      <c r="AA1364" s="5">
        <v>1439495.0</v>
      </c>
    </row>
    <row r="1365">
      <c r="Z1365" s="5">
        <v>1363.0</v>
      </c>
      <c r="AA1365" s="5">
        <v>1439067.0</v>
      </c>
    </row>
    <row r="1366">
      <c r="Z1366" s="5">
        <v>1364.0</v>
      </c>
      <c r="AA1366" s="5">
        <v>1438654.0</v>
      </c>
    </row>
    <row r="1367">
      <c r="Z1367" s="5">
        <v>1365.0</v>
      </c>
      <c r="AA1367" s="5">
        <v>1435188.0</v>
      </c>
    </row>
    <row r="1368">
      <c r="Z1368" s="5">
        <v>1366.0</v>
      </c>
      <c r="AA1368" s="5">
        <v>1431642.0</v>
      </c>
    </row>
    <row r="1369">
      <c r="Z1369" s="5">
        <v>1367.0</v>
      </c>
      <c r="AA1369" s="5">
        <v>1430332.0</v>
      </c>
    </row>
    <row r="1370">
      <c r="Z1370" s="5">
        <v>1368.0</v>
      </c>
      <c r="AA1370" s="5">
        <v>1429127.0</v>
      </c>
    </row>
    <row r="1371">
      <c r="Z1371" s="5">
        <v>1369.0</v>
      </c>
      <c r="AA1371" s="5">
        <v>1426448.0</v>
      </c>
    </row>
    <row r="1372">
      <c r="Z1372" s="5">
        <v>1370.0</v>
      </c>
      <c r="AA1372" s="5">
        <v>1426008.0</v>
      </c>
    </row>
    <row r="1373">
      <c r="Z1373" s="5">
        <v>1371.0</v>
      </c>
      <c r="AA1373" s="5">
        <v>1425959.0</v>
      </c>
    </row>
    <row r="1374">
      <c r="Z1374" s="5">
        <v>1372.0</v>
      </c>
      <c r="AA1374" s="5">
        <v>1424091.0</v>
      </c>
    </row>
    <row r="1375">
      <c r="Z1375" s="5">
        <v>1373.0</v>
      </c>
      <c r="AA1375" s="5">
        <v>1422622.0</v>
      </c>
    </row>
    <row r="1376">
      <c r="Z1376" s="5">
        <v>1374.0</v>
      </c>
      <c r="AA1376" s="5">
        <v>1421023.0</v>
      </c>
    </row>
    <row r="1377">
      <c r="Z1377" s="5">
        <v>1375.0</v>
      </c>
      <c r="AA1377" s="5">
        <v>1419406.0</v>
      </c>
    </row>
    <row r="1378">
      <c r="Z1378" s="5">
        <v>1376.0</v>
      </c>
      <c r="AA1378" s="5">
        <v>1419299.0</v>
      </c>
    </row>
    <row r="1379">
      <c r="Z1379" s="5">
        <v>1377.0</v>
      </c>
      <c r="AA1379" s="5">
        <v>1416144.0</v>
      </c>
    </row>
    <row r="1380">
      <c r="Z1380" s="5">
        <v>1378.0</v>
      </c>
      <c r="AA1380" s="5">
        <v>1416030.0</v>
      </c>
    </row>
    <row r="1381">
      <c r="Z1381" s="5">
        <v>1379.0</v>
      </c>
      <c r="AA1381" s="5">
        <v>1414053.0</v>
      </c>
    </row>
    <row r="1382">
      <c r="Z1382" s="5">
        <v>1380.0</v>
      </c>
      <c r="AA1382" s="5">
        <v>1413037.0</v>
      </c>
    </row>
    <row r="1383">
      <c r="Z1383" s="5">
        <v>1381.0</v>
      </c>
      <c r="AA1383" s="5">
        <v>1412440.0</v>
      </c>
    </row>
    <row r="1384">
      <c r="Z1384" s="5">
        <v>1382.0</v>
      </c>
      <c r="AA1384" s="5">
        <v>1411286.0</v>
      </c>
    </row>
    <row r="1385">
      <c r="Z1385" s="5">
        <v>1383.0</v>
      </c>
      <c r="AA1385" s="5">
        <v>1411098.0</v>
      </c>
    </row>
    <row r="1386">
      <c r="Z1386" s="5">
        <v>1384.0</v>
      </c>
      <c r="AA1386" s="5">
        <v>1410956.0</v>
      </c>
    </row>
    <row r="1387">
      <c r="Z1387" s="5">
        <v>1385.0</v>
      </c>
      <c r="AA1387" s="5">
        <v>1408672.0</v>
      </c>
    </row>
    <row r="1388">
      <c r="Z1388" s="5">
        <v>1386.0</v>
      </c>
      <c r="AA1388" s="5">
        <v>1408408.0</v>
      </c>
    </row>
    <row r="1389">
      <c r="Z1389" s="5">
        <v>1387.0</v>
      </c>
      <c r="AA1389" s="5">
        <v>1408408.0</v>
      </c>
    </row>
    <row r="1390">
      <c r="Z1390" s="5">
        <v>1388.0</v>
      </c>
      <c r="AA1390" s="5">
        <v>1408408.0</v>
      </c>
    </row>
    <row r="1391">
      <c r="Z1391" s="5">
        <v>1389.0</v>
      </c>
      <c r="AA1391" s="5">
        <v>1407047.0</v>
      </c>
    </row>
    <row r="1392">
      <c r="Z1392" s="5">
        <v>1390.0</v>
      </c>
      <c r="AA1392" s="5">
        <v>1406473.0</v>
      </c>
    </row>
    <row r="1393">
      <c r="Z1393" s="5">
        <v>1391.0</v>
      </c>
      <c r="AA1393" s="5">
        <v>1406191.0</v>
      </c>
    </row>
    <row r="1394">
      <c r="Z1394" s="5">
        <v>1392.0</v>
      </c>
      <c r="AA1394" s="5">
        <v>1405007.0</v>
      </c>
    </row>
    <row r="1395">
      <c r="Z1395" s="5">
        <v>1393.0</v>
      </c>
      <c r="AA1395" s="5">
        <v>1401235.0</v>
      </c>
    </row>
    <row r="1396">
      <c r="Z1396" s="5">
        <v>1394.0</v>
      </c>
      <c r="AA1396" s="5">
        <v>1400746.0</v>
      </c>
    </row>
    <row r="1397">
      <c r="Z1397" s="5">
        <v>1395.0</v>
      </c>
      <c r="AA1397" s="5">
        <v>1397383.0</v>
      </c>
    </row>
    <row r="1398">
      <c r="Z1398" s="5">
        <v>1396.0</v>
      </c>
      <c r="AA1398" s="5">
        <v>1397258.0</v>
      </c>
    </row>
    <row r="1399">
      <c r="Z1399" s="5">
        <v>1397.0</v>
      </c>
      <c r="AA1399" s="5">
        <v>1395379.0</v>
      </c>
    </row>
    <row r="1400">
      <c r="Z1400" s="5">
        <v>1398.0</v>
      </c>
      <c r="AA1400" s="5">
        <v>1394740.0</v>
      </c>
    </row>
    <row r="1401">
      <c r="Z1401" s="5">
        <v>1399.0</v>
      </c>
      <c r="AA1401" s="5">
        <v>1394243.0</v>
      </c>
    </row>
    <row r="1402">
      <c r="Z1402" s="5">
        <v>1400.0</v>
      </c>
      <c r="AA1402" s="5">
        <v>1394061.0</v>
      </c>
    </row>
    <row r="1403">
      <c r="Z1403" s="5">
        <v>1401.0</v>
      </c>
      <c r="AA1403" s="5">
        <v>1391486.0</v>
      </c>
    </row>
    <row r="1404">
      <c r="Z1404" s="5">
        <v>1402.0</v>
      </c>
      <c r="AA1404" s="5">
        <v>1387809.0</v>
      </c>
    </row>
    <row r="1405">
      <c r="Z1405" s="5">
        <v>1403.0</v>
      </c>
      <c r="AA1405" s="5">
        <v>1387724.0</v>
      </c>
    </row>
    <row r="1406">
      <c r="Z1406" s="5">
        <v>1404.0</v>
      </c>
      <c r="AA1406" s="5">
        <v>1385909.0</v>
      </c>
    </row>
    <row r="1407">
      <c r="Z1407" s="5">
        <v>1405.0</v>
      </c>
      <c r="AA1407" s="5">
        <v>1385655.0</v>
      </c>
    </row>
    <row r="1408">
      <c r="Z1408" s="5">
        <v>1406.0</v>
      </c>
      <c r="AA1408" s="5">
        <v>1385437.0</v>
      </c>
    </row>
    <row r="1409">
      <c r="Z1409" s="5">
        <v>1407.0</v>
      </c>
      <c r="AA1409" s="5">
        <v>1382635.0</v>
      </c>
    </row>
    <row r="1410">
      <c r="Z1410" s="5">
        <v>1408.0</v>
      </c>
      <c r="AA1410" s="5">
        <v>1382085.0</v>
      </c>
    </row>
    <row r="1411">
      <c r="Z1411" s="5">
        <v>1409.0</v>
      </c>
      <c r="AA1411" s="5">
        <v>1379001.0</v>
      </c>
    </row>
    <row r="1412">
      <c r="Z1412" s="5">
        <v>1410.0</v>
      </c>
      <c r="AA1412" s="5">
        <v>1378106.0</v>
      </c>
    </row>
    <row r="1413">
      <c r="Z1413" s="5">
        <v>1411.0</v>
      </c>
      <c r="AA1413" s="5">
        <v>1377472.0</v>
      </c>
    </row>
    <row r="1414">
      <c r="Z1414" s="5">
        <v>1412.0</v>
      </c>
      <c r="AA1414" s="5">
        <v>1375154.0</v>
      </c>
    </row>
    <row r="1415">
      <c r="Z1415" s="5">
        <v>1413.0</v>
      </c>
      <c r="AA1415" s="5">
        <v>1373711.0</v>
      </c>
    </row>
    <row r="1416">
      <c r="Z1416" s="5">
        <v>1414.0</v>
      </c>
      <c r="AA1416" s="5">
        <v>1372858.0</v>
      </c>
    </row>
    <row r="1417">
      <c r="Z1417" s="5">
        <v>1415.0</v>
      </c>
      <c r="AA1417" s="5">
        <v>1372668.0</v>
      </c>
    </row>
    <row r="1418">
      <c r="Z1418" s="5">
        <v>1416.0</v>
      </c>
      <c r="AA1418" s="5">
        <v>1368516.0</v>
      </c>
    </row>
    <row r="1419">
      <c r="Z1419" s="5">
        <v>1417.0</v>
      </c>
      <c r="AA1419" s="5">
        <v>1368363.0</v>
      </c>
    </row>
    <row r="1420">
      <c r="Z1420" s="5">
        <v>1418.0</v>
      </c>
      <c r="AA1420" s="5">
        <v>1368294.0</v>
      </c>
    </row>
    <row r="1421">
      <c r="Z1421" s="5">
        <v>1419.0</v>
      </c>
      <c r="AA1421" s="5">
        <v>1366105.0</v>
      </c>
    </row>
    <row r="1422">
      <c r="Z1422" s="5">
        <v>1420.0</v>
      </c>
      <c r="AA1422" s="5">
        <v>1366004.0</v>
      </c>
    </row>
    <row r="1423">
      <c r="Z1423" s="5">
        <v>1421.0</v>
      </c>
      <c r="AA1423" s="5">
        <v>1365735.0</v>
      </c>
    </row>
    <row r="1424">
      <c r="Z1424" s="5">
        <v>1422.0</v>
      </c>
      <c r="AA1424" s="5">
        <v>1364934.0</v>
      </c>
    </row>
    <row r="1425">
      <c r="Z1425" s="5">
        <v>1423.0</v>
      </c>
      <c r="AA1425" s="5">
        <v>1364636.0</v>
      </c>
    </row>
    <row r="1426">
      <c r="Z1426" s="5">
        <v>1424.0</v>
      </c>
      <c r="AA1426" s="5">
        <v>1364288.0</v>
      </c>
    </row>
    <row r="1427">
      <c r="Z1427" s="5">
        <v>1425.0</v>
      </c>
      <c r="AA1427" s="5">
        <v>1358623.0</v>
      </c>
    </row>
    <row r="1428">
      <c r="Z1428" s="5">
        <v>1426.0</v>
      </c>
      <c r="AA1428" s="5">
        <v>1357810.0</v>
      </c>
    </row>
    <row r="1429">
      <c r="Z1429" s="5">
        <v>1427.0</v>
      </c>
      <c r="AA1429" s="5">
        <v>1357524.0</v>
      </c>
    </row>
    <row r="1430">
      <c r="Z1430" s="5">
        <v>1428.0</v>
      </c>
      <c r="AA1430" s="5">
        <v>1354999.0</v>
      </c>
    </row>
    <row r="1431">
      <c r="Z1431" s="5">
        <v>1429.0</v>
      </c>
      <c r="AA1431" s="5">
        <v>1354777.0</v>
      </c>
    </row>
    <row r="1432">
      <c r="Z1432" s="5">
        <v>1430.0</v>
      </c>
      <c r="AA1432" s="5">
        <v>1353031.0</v>
      </c>
    </row>
    <row r="1433">
      <c r="Z1433" s="5">
        <v>1431.0</v>
      </c>
      <c r="AA1433" s="5">
        <v>1350890.0</v>
      </c>
    </row>
    <row r="1434">
      <c r="Z1434" s="5">
        <v>1432.0</v>
      </c>
      <c r="AA1434" s="5">
        <v>1349425.0</v>
      </c>
    </row>
    <row r="1435">
      <c r="Z1435" s="5">
        <v>1433.0</v>
      </c>
      <c r="AA1435" s="5">
        <v>1348113.0</v>
      </c>
    </row>
    <row r="1436">
      <c r="Z1436" s="5">
        <v>1434.0</v>
      </c>
      <c r="AA1436" s="5">
        <v>1346562.0</v>
      </c>
    </row>
    <row r="1437">
      <c r="Z1437" s="5">
        <v>1435.0</v>
      </c>
      <c r="AA1437" s="5">
        <v>1345107.0</v>
      </c>
    </row>
    <row r="1438">
      <c r="Z1438" s="5">
        <v>1436.0</v>
      </c>
      <c r="AA1438" s="5">
        <v>1343856.0</v>
      </c>
    </row>
    <row r="1439">
      <c r="Z1439" s="5">
        <v>1437.0</v>
      </c>
      <c r="AA1439" s="5">
        <v>1343349.0</v>
      </c>
    </row>
    <row r="1440">
      <c r="Z1440" s="5">
        <v>1438.0</v>
      </c>
      <c r="AA1440" s="5">
        <v>1342624.0</v>
      </c>
    </row>
    <row r="1441">
      <c r="Z1441" s="5">
        <v>1439.0</v>
      </c>
      <c r="AA1441" s="5">
        <v>1342399.0</v>
      </c>
    </row>
    <row r="1442">
      <c r="Z1442" s="5">
        <v>1440.0</v>
      </c>
      <c r="AA1442" s="5">
        <v>1340739.0</v>
      </c>
    </row>
    <row r="1443">
      <c r="Z1443" s="5">
        <v>1441.0</v>
      </c>
      <c r="AA1443" s="5">
        <v>1340187.0</v>
      </c>
    </row>
    <row r="1444">
      <c r="Z1444" s="5">
        <v>1442.0</v>
      </c>
      <c r="AA1444" s="5">
        <v>1339661.0</v>
      </c>
    </row>
    <row r="1445">
      <c r="Z1445" s="5">
        <v>1443.0</v>
      </c>
      <c r="AA1445" s="5">
        <v>1337597.0</v>
      </c>
    </row>
    <row r="1446">
      <c r="Z1446" s="5">
        <v>1444.0</v>
      </c>
      <c r="AA1446" s="5">
        <v>1337466.0</v>
      </c>
    </row>
    <row r="1447">
      <c r="Z1447" s="5">
        <v>1445.0</v>
      </c>
      <c r="AA1447" s="5">
        <v>1337300.0</v>
      </c>
    </row>
    <row r="1448">
      <c r="Z1448" s="5">
        <v>1446.0</v>
      </c>
      <c r="AA1448" s="5">
        <v>1335986.0</v>
      </c>
    </row>
    <row r="1449">
      <c r="Z1449" s="5">
        <v>1447.0</v>
      </c>
      <c r="AA1449" s="5">
        <v>1335314.0</v>
      </c>
    </row>
    <row r="1450">
      <c r="Z1450" s="5">
        <v>1448.0</v>
      </c>
      <c r="AA1450" s="5">
        <v>1335164.0</v>
      </c>
    </row>
    <row r="1451">
      <c r="Z1451" s="5">
        <v>1449.0</v>
      </c>
      <c r="AA1451" s="5">
        <v>1334946.0</v>
      </c>
    </row>
    <row r="1452">
      <c r="Z1452" s="5">
        <v>1450.0</v>
      </c>
      <c r="AA1452" s="5">
        <v>1333734.0</v>
      </c>
    </row>
    <row r="1453">
      <c r="Z1453" s="5">
        <v>1451.0</v>
      </c>
      <c r="AA1453" s="5">
        <v>1331409.0</v>
      </c>
    </row>
    <row r="1454">
      <c r="Z1454" s="5">
        <v>1452.0</v>
      </c>
      <c r="AA1454" s="5">
        <v>1331236.0</v>
      </c>
    </row>
    <row r="1455">
      <c r="Z1455" s="5">
        <v>1453.0</v>
      </c>
      <c r="AA1455" s="5">
        <v>1330613.0</v>
      </c>
    </row>
    <row r="1456">
      <c r="Z1456" s="5">
        <v>1454.0</v>
      </c>
      <c r="AA1456" s="5">
        <v>1329678.0</v>
      </c>
    </row>
    <row r="1457">
      <c r="Z1457" s="5">
        <v>1455.0</v>
      </c>
      <c r="AA1457" s="5">
        <v>1327789.0</v>
      </c>
    </row>
    <row r="1458">
      <c r="Z1458" s="5">
        <v>1456.0</v>
      </c>
      <c r="AA1458" s="5">
        <v>1327778.0</v>
      </c>
    </row>
    <row r="1459">
      <c r="Z1459" s="5">
        <v>1457.0</v>
      </c>
      <c r="AA1459" s="5">
        <v>1326296.0</v>
      </c>
    </row>
    <row r="1460">
      <c r="Z1460" s="5">
        <v>1458.0</v>
      </c>
      <c r="AA1460" s="5">
        <v>1325699.0</v>
      </c>
    </row>
    <row r="1461">
      <c r="Z1461" s="5">
        <v>1459.0</v>
      </c>
      <c r="AA1461" s="5">
        <v>1324278.0</v>
      </c>
    </row>
    <row r="1462">
      <c r="Z1462" s="5">
        <v>1460.0</v>
      </c>
      <c r="AA1462" s="5">
        <v>1324215.0</v>
      </c>
    </row>
    <row r="1463">
      <c r="Z1463" s="5">
        <v>1461.0</v>
      </c>
      <c r="AA1463" s="5">
        <v>1323892.0</v>
      </c>
    </row>
    <row r="1464">
      <c r="Z1464" s="5">
        <v>1462.0</v>
      </c>
      <c r="AA1464" s="5">
        <v>1323869.0</v>
      </c>
    </row>
    <row r="1465">
      <c r="Z1465" s="5">
        <v>1463.0</v>
      </c>
      <c r="AA1465" s="5">
        <v>1320698.0</v>
      </c>
    </row>
    <row r="1466">
      <c r="Z1466" s="5">
        <v>1464.0</v>
      </c>
      <c r="AA1466" s="5">
        <v>1320109.0</v>
      </c>
    </row>
    <row r="1467">
      <c r="Z1467" s="5">
        <v>1465.0</v>
      </c>
      <c r="AA1467" s="5">
        <v>1317956.0</v>
      </c>
    </row>
    <row r="1468">
      <c r="Z1468" s="5">
        <v>1466.0</v>
      </c>
      <c r="AA1468" s="5">
        <v>1312330.0</v>
      </c>
    </row>
    <row r="1469">
      <c r="Z1469" s="5">
        <v>1467.0</v>
      </c>
      <c r="AA1469" s="5">
        <v>1311491.0</v>
      </c>
    </row>
    <row r="1470">
      <c r="Z1470" s="5">
        <v>1468.0</v>
      </c>
      <c r="AA1470" s="5">
        <v>1310781.0</v>
      </c>
    </row>
    <row r="1471">
      <c r="Z1471" s="5">
        <v>1469.0</v>
      </c>
      <c r="AA1471" s="5">
        <v>1308912.0</v>
      </c>
    </row>
    <row r="1472">
      <c r="Z1472" s="5">
        <v>1470.0</v>
      </c>
      <c r="AA1472" s="5">
        <v>1306180.0</v>
      </c>
    </row>
    <row r="1473">
      <c r="Z1473" s="5">
        <v>1471.0</v>
      </c>
      <c r="AA1473" s="5">
        <v>1305388.0</v>
      </c>
    </row>
    <row r="1474">
      <c r="Z1474" s="5">
        <v>1472.0</v>
      </c>
      <c r="AA1474" s="5">
        <v>1302611.0</v>
      </c>
    </row>
    <row r="1475">
      <c r="Z1475" s="5">
        <v>1473.0</v>
      </c>
      <c r="AA1475" s="5">
        <v>1302277.0</v>
      </c>
    </row>
    <row r="1476">
      <c r="Z1476" s="5">
        <v>1474.0</v>
      </c>
      <c r="AA1476" s="5">
        <v>1301341.0</v>
      </c>
    </row>
    <row r="1477">
      <c r="Z1477" s="5">
        <v>1475.0</v>
      </c>
      <c r="AA1477" s="5">
        <v>1300080.0</v>
      </c>
    </row>
    <row r="1478">
      <c r="Z1478" s="5">
        <v>1476.0</v>
      </c>
      <c r="AA1478" s="5">
        <v>1299058.0</v>
      </c>
    </row>
    <row r="1479">
      <c r="Z1479" s="5">
        <v>1477.0</v>
      </c>
      <c r="AA1479" s="5">
        <v>1298247.0</v>
      </c>
    </row>
    <row r="1480">
      <c r="Z1480" s="5">
        <v>1478.0</v>
      </c>
      <c r="AA1480" s="5">
        <v>1297352.0</v>
      </c>
    </row>
    <row r="1481">
      <c r="Z1481" s="5">
        <v>1479.0</v>
      </c>
      <c r="AA1481" s="5">
        <v>1297202.0</v>
      </c>
    </row>
    <row r="1482">
      <c r="Z1482" s="5">
        <v>1480.0</v>
      </c>
      <c r="AA1482" s="5">
        <v>1296476.0</v>
      </c>
    </row>
    <row r="1483">
      <c r="Z1483" s="5">
        <v>1481.0</v>
      </c>
      <c r="AA1483" s="5">
        <v>1292094.0</v>
      </c>
    </row>
    <row r="1484">
      <c r="Z1484" s="5">
        <v>1482.0</v>
      </c>
      <c r="AA1484" s="5">
        <v>1291766.0</v>
      </c>
    </row>
    <row r="1485">
      <c r="Z1485" s="5">
        <v>1483.0</v>
      </c>
      <c r="AA1485" s="5">
        <v>1291175.0</v>
      </c>
    </row>
    <row r="1486">
      <c r="Z1486" s="5">
        <v>1484.0</v>
      </c>
      <c r="AA1486" s="5">
        <v>1290658.0</v>
      </c>
    </row>
    <row r="1487">
      <c r="Z1487" s="5">
        <v>1485.0</v>
      </c>
      <c r="AA1487" s="5">
        <v>1287789.0</v>
      </c>
    </row>
    <row r="1488">
      <c r="Z1488" s="5">
        <v>1486.0</v>
      </c>
      <c r="AA1488" s="5">
        <v>1287383.0</v>
      </c>
    </row>
    <row r="1489">
      <c r="Z1489" s="5">
        <v>1487.0</v>
      </c>
      <c r="AA1489" s="5">
        <v>1286116.0</v>
      </c>
    </row>
    <row r="1490">
      <c r="Z1490" s="5">
        <v>1488.0</v>
      </c>
      <c r="AA1490" s="5">
        <v>1286074.0</v>
      </c>
    </row>
    <row r="1491">
      <c r="Z1491" s="5">
        <v>1489.0</v>
      </c>
      <c r="AA1491" s="5">
        <v>1282086.0</v>
      </c>
    </row>
    <row r="1492">
      <c r="Z1492" s="5">
        <v>1490.0</v>
      </c>
      <c r="AA1492" s="5">
        <v>1280429.0</v>
      </c>
    </row>
    <row r="1493">
      <c r="Z1493" s="5">
        <v>1491.0</v>
      </c>
      <c r="AA1493" s="5">
        <v>1277529.0</v>
      </c>
    </row>
    <row r="1494">
      <c r="Z1494" s="5">
        <v>1492.0</v>
      </c>
      <c r="AA1494" s="5">
        <v>1276161.0</v>
      </c>
    </row>
    <row r="1495">
      <c r="Z1495" s="5">
        <v>1493.0</v>
      </c>
      <c r="AA1495" s="5">
        <v>1274265.0</v>
      </c>
    </row>
    <row r="1496">
      <c r="Z1496" s="5">
        <v>1494.0</v>
      </c>
      <c r="AA1496" s="5">
        <v>1274012.0</v>
      </c>
    </row>
    <row r="1497">
      <c r="Z1497" s="5">
        <v>1495.0</v>
      </c>
      <c r="AA1497" s="5">
        <v>1271286.0</v>
      </c>
    </row>
    <row r="1498">
      <c r="Z1498" s="5">
        <v>1496.0</v>
      </c>
      <c r="AA1498" s="5">
        <v>1270762.0</v>
      </c>
    </row>
    <row r="1499">
      <c r="Z1499" s="5">
        <v>1497.0</v>
      </c>
      <c r="AA1499" s="5">
        <v>1268975.0</v>
      </c>
    </row>
    <row r="1500">
      <c r="Z1500" s="5">
        <v>1498.0</v>
      </c>
      <c r="AA1500" s="5">
        <v>1266213.0</v>
      </c>
    </row>
    <row r="1501">
      <c r="Z1501" s="5">
        <v>1499.0</v>
      </c>
      <c r="AA1501" s="5">
        <v>1265572.0</v>
      </c>
    </row>
    <row r="1502">
      <c r="Z1502" s="5">
        <v>1500.0</v>
      </c>
      <c r="AA1502" s="5">
        <v>1264850.0</v>
      </c>
    </row>
    <row r="1503">
      <c r="Z1503" s="5">
        <v>1501.0</v>
      </c>
      <c r="AA1503" s="5">
        <v>1262698.0</v>
      </c>
    </row>
    <row r="1504">
      <c r="Z1504" s="5">
        <v>1502.0</v>
      </c>
      <c r="AA1504" s="5">
        <v>1260114.0</v>
      </c>
    </row>
    <row r="1505">
      <c r="Z1505" s="5">
        <v>1503.0</v>
      </c>
      <c r="AA1505" s="5">
        <v>1257170.0</v>
      </c>
    </row>
    <row r="1506">
      <c r="Z1506" s="5">
        <v>1504.0</v>
      </c>
      <c r="AA1506" s="5">
        <v>1256982.0</v>
      </c>
    </row>
    <row r="1507">
      <c r="Z1507" s="5">
        <v>1505.0</v>
      </c>
      <c r="AA1507" s="5">
        <v>1256689.0</v>
      </c>
    </row>
    <row r="1508">
      <c r="Z1508" s="5">
        <v>1506.0</v>
      </c>
      <c r="AA1508" s="5">
        <v>1256261.0</v>
      </c>
    </row>
    <row r="1509">
      <c r="Z1509" s="5">
        <v>1507.0</v>
      </c>
      <c r="AA1509" s="5">
        <v>1253978.0</v>
      </c>
    </row>
    <row r="1510">
      <c r="Z1510" s="5">
        <v>1508.0</v>
      </c>
      <c r="AA1510" s="5">
        <v>1253143.0</v>
      </c>
    </row>
    <row r="1511">
      <c r="Z1511" s="5">
        <v>1509.0</v>
      </c>
      <c r="AA1511" s="5">
        <v>1252060.0</v>
      </c>
    </row>
    <row r="1512">
      <c r="Z1512" s="5">
        <v>1510.0</v>
      </c>
      <c r="AA1512" s="5">
        <v>1249089.0</v>
      </c>
    </row>
    <row r="1513">
      <c r="Z1513" s="5">
        <v>1511.0</v>
      </c>
      <c r="AA1513" s="5">
        <v>1247479.0</v>
      </c>
    </row>
    <row r="1514">
      <c r="Z1514" s="5">
        <v>1512.0</v>
      </c>
      <c r="AA1514" s="5">
        <v>1247280.0</v>
      </c>
    </row>
    <row r="1515">
      <c r="Z1515" s="5">
        <v>1513.0</v>
      </c>
      <c r="AA1515" s="5">
        <v>1246168.0</v>
      </c>
    </row>
    <row r="1516">
      <c r="Z1516" s="5">
        <v>1514.0</v>
      </c>
      <c r="AA1516" s="5">
        <v>1244013.0</v>
      </c>
    </row>
    <row r="1517">
      <c r="Z1517" s="5">
        <v>1515.0</v>
      </c>
      <c r="AA1517" s="5">
        <v>1243696.0</v>
      </c>
    </row>
    <row r="1518">
      <c r="Z1518" s="5">
        <v>1516.0</v>
      </c>
      <c r="AA1518" s="5">
        <v>1243207.0</v>
      </c>
    </row>
    <row r="1519">
      <c r="Z1519" s="5">
        <v>1517.0</v>
      </c>
      <c r="AA1519" s="5">
        <v>1242613.0</v>
      </c>
    </row>
    <row r="1520">
      <c r="Z1520" s="5">
        <v>1518.0</v>
      </c>
      <c r="AA1520" s="5">
        <v>1240069.0</v>
      </c>
    </row>
    <row r="1521">
      <c r="Z1521" s="5">
        <v>1519.0</v>
      </c>
      <c r="AA1521" s="5">
        <v>1239905.0</v>
      </c>
    </row>
    <row r="1522">
      <c r="Z1522" s="5">
        <v>1520.0</v>
      </c>
      <c r="AA1522" s="5">
        <v>1238578.0</v>
      </c>
    </row>
    <row r="1523">
      <c r="Z1523" s="5">
        <v>1521.0</v>
      </c>
      <c r="AA1523" s="5">
        <v>1234757.0</v>
      </c>
    </row>
    <row r="1524">
      <c r="Z1524" s="5">
        <v>1522.0</v>
      </c>
      <c r="AA1524" s="5">
        <v>1230577.0</v>
      </c>
    </row>
    <row r="1525">
      <c r="Z1525" s="5">
        <v>1523.0</v>
      </c>
      <c r="AA1525" s="5">
        <v>1230400.0</v>
      </c>
    </row>
    <row r="1526">
      <c r="Z1526" s="5">
        <v>1524.0</v>
      </c>
      <c r="AA1526" s="5">
        <v>1226101.0</v>
      </c>
    </row>
    <row r="1527">
      <c r="Z1527" s="5">
        <v>1525.0</v>
      </c>
      <c r="AA1527" s="5">
        <v>1226041.0</v>
      </c>
    </row>
    <row r="1528">
      <c r="Z1528" s="5">
        <v>1526.0</v>
      </c>
      <c r="AA1528" s="5">
        <v>1223225.0</v>
      </c>
    </row>
    <row r="1529">
      <c r="Z1529" s="5">
        <v>1527.0</v>
      </c>
      <c r="AA1529" s="5">
        <v>1220400.0</v>
      </c>
    </row>
    <row r="1530">
      <c r="Z1530" s="5">
        <v>1528.0</v>
      </c>
      <c r="AA1530" s="5">
        <v>1219621.0</v>
      </c>
    </row>
    <row r="1531">
      <c r="Z1531" s="5">
        <v>1529.0</v>
      </c>
      <c r="AA1531" s="5">
        <v>1219611.0</v>
      </c>
    </row>
    <row r="1532">
      <c r="Z1532" s="5">
        <v>1530.0</v>
      </c>
      <c r="AA1532" s="5">
        <v>1216622.0</v>
      </c>
    </row>
    <row r="1533">
      <c r="Z1533" s="5">
        <v>1531.0</v>
      </c>
      <c r="AA1533" s="5">
        <v>1214904.0</v>
      </c>
    </row>
    <row r="1534">
      <c r="Z1534" s="5">
        <v>1532.0</v>
      </c>
      <c r="AA1534" s="5">
        <v>1214007.0</v>
      </c>
    </row>
    <row r="1535">
      <c r="Z1535" s="5">
        <v>1533.0</v>
      </c>
      <c r="AA1535" s="5">
        <v>1211459.0</v>
      </c>
    </row>
    <row r="1536">
      <c r="Z1536" s="5">
        <v>1534.0</v>
      </c>
      <c r="AA1536" s="5">
        <v>1211453.0</v>
      </c>
    </row>
    <row r="1537">
      <c r="Z1537" s="5">
        <v>1535.0</v>
      </c>
      <c r="AA1537" s="5">
        <v>1210780.0</v>
      </c>
    </row>
    <row r="1538">
      <c r="Z1538" s="5">
        <v>1536.0</v>
      </c>
      <c r="AA1538" s="5">
        <v>1209588.0</v>
      </c>
    </row>
    <row r="1539">
      <c r="Z1539" s="5">
        <v>1537.0</v>
      </c>
      <c r="AA1539" s="5">
        <v>1208781.0</v>
      </c>
    </row>
    <row r="1540">
      <c r="Z1540" s="5">
        <v>1538.0</v>
      </c>
      <c r="AA1540" s="5">
        <v>1207274.0</v>
      </c>
    </row>
    <row r="1541">
      <c r="Z1541" s="5">
        <v>1539.0</v>
      </c>
      <c r="AA1541" s="5">
        <v>1203894.0</v>
      </c>
    </row>
    <row r="1542">
      <c r="Z1542" s="5">
        <v>1540.0</v>
      </c>
      <c r="AA1542" s="5">
        <v>1202974.0</v>
      </c>
    </row>
    <row r="1543">
      <c r="Z1543" s="5">
        <v>1541.0</v>
      </c>
      <c r="AA1543" s="5">
        <v>1200705.0</v>
      </c>
    </row>
    <row r="1544">
      <c r="Z1544" s="5">
        <v>1542.0</v>
      </c>
      <c r="AA1544" s="5">
        <v>1200705.0</v>
      </c>
    </row>
    <row r="1545">
      <c r="Z1545" s="5">
        <v>1543.0</v>
      </c>
      <c r="AA1545" s="5">
        <v>1200154.0</v>
      </c>
    </row>
    <row r="1546">
      <c r="Z1546" s="5">
        <v>1544.0</v>
      </c>
      <c r="AA1546" s="5">
        <v>1199119.0</v>
      </c>
    </row>
    <row r="1547">
      <c r="Z1547" s="5">
        <v>1545.0</v>
      </c>
      <c r="AA1547" s="5">
        <v>1198495.0</v>
      </c>
    </row>
    <row r="1548">
      <c r="Z1548" s="5">
        <v>1546.0</v>
      </c>
      <c r="AA1548" s="5">
        <v>1191834.0</v>
      </c>
    </row>
    <row r="1549">
      <c r="Z1549" s="5">
        <v>1547.0</v>
      </c>
      <c r="AA1549" s="5">
        <v>1191289.0</v>
      </c>
    </row>
    <row r="1550">
      <c r="Z1550" s="5">
        <v>1548.0</v>
      </c>
      <c r="AA1550" s="5">
        <v>1189589.0</v>
      </c>
    </row>
    <row r="1551">
      <c r="Z1551" s="5">
        <v>1549.0</v>
      </c>
      <c r="AA1551" s="5">
        <v>1188767.0</v>
      </c>
    </row>
    <row r="1552">
      <c r="Z1552" s="5">
        <v>1550.0</v>
      </c>
      <c r="AA1552" s="5">
        <v>1186320.0</v>
      </c>
    </row>
    <row r="1553">
      <c r="Z1553" s="5">
        <v>1551.0</v>
      </c>
      <c r="AA1553" s="5">
        <v>1184108.0</v>
      </c>
    </row>
    <row r="1554">
      <c r="Z1554" s="5">
        <v>1552.0</v>
      </c>
      <c r="AA1554" s="5">
        <v>1183657.0</v>
      </c>
    </row>
    <row r="1555">
      <c r="Z1555" s="5">
        <v>1553.0</v>
      </c>
      <c r="AA1555" s="5">
        <v>1179102.0</v>
      </c>
    </row>
    <row r="1556">
      <c r="Z1556" s="5">
        <v>1554.0</v>
      </c>
      <c r="AA1556" s="5">
        <v>1175444.0</v>
      </c>
    </row>
    <row r="1557">
      <c r="Z1557" s="5">
        <v>1555.0</v>
      </c>
      <c r="AA1557" s="5">
        <v>1174312.0</v>
      </c>
    </row>
    <row r="1558">
      <c r="Z1558" s="5">
        <v>1556.0</v>
      </c>
      <c r="AA1558" s="5">
        <v>1172385.0</v>
      </c>
    </row>
    <row r="1559">
      <c r="Z1559" s="5">
        <v>1557.0</v>
      </c>
      <c r="AA1559" s="5">
        <v>1167875.0</v>
      </c>
    </row>
    <row r="1560">
      <c r="Z1560" s="5">
        <v>1558.0</v>
      </c>
      <c r="AA1560" s="5">
        <v>1165043.0</v>
      </c>
    </row>
    <row r="1561">
      <c r="Z1561" s="5">
        <v>1559.0</v>
      </c>
      <c r="AA1561" s="5">
        <v>1163884.0</v>
      </c>
    </row>
    <row r="1562">
      <c r="Z1562" s="5">
        <v>1560.0</v>
      </c>
      <c r="AA1562" s="5">
        <v>1163650.0</v>
      </c>
    </row>
    <row r="1563">
      <c r="Z1563" s="5">
        <v>1561.0</v>
      </c>
      <c r="AA1563" s="5">
        <v>1163650.0</v>
      </c>
    </row>
    <row r="1564">
      <c r="Z1564" s="5">
        <v>1562.0</v>
      </c>
      <c r="AA1564" s="5">
        <v>1163650.0</v>
      </c>
    </row>
    <row r="1565">
      <c r="Z1565" s="5">
        <v>1563.0</v>
      </c>
      <c r="AA1565" s="5">
        <v>1163650.0</v>
      </c>
    </row>
    <row r="1566">
      <c r="Z1566" s="5">
        <v>1564.0</v>
      </c>
      <c r="AA1566" s="5">
        <v>1163650.0</v>
      </c>
    </row>
    <row r="1567">
      <c r="Z1567" s="5">
        <v>1565.0</v>
      </c>
      <c r="AA1567" s="5">
        <v>1163650.0</v>
      </c>
    </row>
    <row r="1568">
      <c r="Z1568" s="5">
        <v>1566.0</v>
      </c>
      <c r="AA1568" s="5">
        <v>1163307.0</v>
      </c>
    </row>
    <row r="1569">
      <c r="Z1569" s="5">
        <v>1567.0</v>
      </c>
      <c r="AA1569" s="5">
        <v>1163307.0</v>
      </c>
    </row>
    <row r="1570">
      <c r="Z1570" s="5">
        <v>1568.0</v>
      </c>
      <c r="AA1570" s="5">
        <v>1163307.0</v>
      </c>
    </row>
    <row r="1571">
      <c r="Z1571" s="5">
        <v>1569.0</v>
      </c>
      <c r="AA1571" s="5">
        <v>1163307.0</v>
      </c>
    </row>
    <row r="1572">
      <c r="Z1572" s="5">
        <v>1570.0</v>
      </c>
      <c r="AA1572" s="5">
        <v>1163307.0</v>
      </c>
    </row>
    <row r="1573">
      <c r="Z1573" s="5">
        <v>1571.0</v>
      </c>
      <c r="AA1573" s="5">
        <v>1162046.0</v>
      </c>
    </row>
    <row r="1574">
      <c r="Z1574" s="5">
        <v>1572.0</v>
      </c>
      <c r="AA1574" s="5">
        <v>1159892.0</v>
      </c>
    </row>
    <row r="1575">
      <c r="Z1575" s="5">
        <v>1573.0</v>
      </c>
      <c r="AA1575" s="5">
        <v>1159666.0</v>
      </c>
    </row>
    <row r="1576">
      <c r="Z1576" s="5">
        <v>1574.0</v>
      </c>
      <c r="AA1576" s="5">
        <v>1153828.0</v>
      </c>
    </row>
    <row r="1577">
      <c r="Z1577" s="5">
        <v>1575.0</v>
      </c>
      <c r="AA1577" s="5">
        <v>1152000.0</v>
      </c>
    </row>
    <row r="1578">
      <c r="Z1578" s="5">
        <v>1576.0</v>
      </c>
      <c r="AA1578" s="5">
        <v>1151501.0</v>
      </c>
    </row>
    <row r="1579">
      <c r="Z1579" s="5">
        <v>1577.0</v>
      </c>
      <c r="AA1579" s="5">
        <v>1149679.0</v>
      </c>
    </row>
    <row r="1580">
      <c r="Z1580" s="5">
        <v>1578.0</v>
      </c>
      <c r="AA1580" s="5">
        <v>1149591.0</v>
      </c>
    </row>
    <row r="1581">
      <c r="Z1581" s="5">
        <v>1579.0</v>
      </c>
      <c r="AA1581" s="5">
        <v>1147267.0</v>
      </c>
    </row>
    <row r="1582">
      <c r="Z1582" s="5">
        <v>1580.0</v>
      </c>
      <c r="AA1582" s="5">
        <v>1143178.0</v>
      </c>
    </row>
    <row r="1583">
      <c r="Z1583" s="5">
        <v>1581.0</v>
      </c>
      <c r="AA1583" s="5">
        <v>1138551.0</v>
      </c>
    </row>
    <row r="1584">
      <c r="Z1584" s="5">
        <v>1582.0</v>
      </c>
      <c r="AA1584" s="5">
        <v>1138219.0</v>
      </c>
    </row>
    <row r="1585">
      <c r="Z1585" s="5">
        <v>1583.0</v>
      </c>
      <c r="AA1585" s="5">
        <v>1136877.0</v>
      </c>
    </row>
    <row r="1586">
      <c r="Z1586" s="5">
        <v>1584.0</v>
      </c>
      <c r="AA1586" s="5">
        <v>1136316.0</v>
      </c>
    </row>
    <row r="1587">
      <c r="Z1587" s="5">
        <v>1585.0</v>
      </c>
      <c r="AA1587" s="5">
        <v>1136303.0</v>
      </c>
    </row>
    <row r="1588">
      <c r="Z1588" s="5">
        <v>1586.0</v>
      </c>
      <c r="AA1588" s="5">
        <v>1136203.0</v>
      </c>
    </row>
    <row r="1589">
      <c r="Z1589" s="5">
        <v>1587.0</v>
      </c>
      <c r="AA1589" s="5">
        <v>1134064.0</v>
      </c>
    </row>
    <row r="1590">
      <c r="Z1590" s="5">
        <v>1588.0</v>
      </c>
      <c r="AA1590" s="5">
        <v>1132201.0</v>
      </c>
    </row>
    <row r="1591">
      <c r="Z1591" s="5">
        <v>1589.0</v>
      </c>
      <c r="AA1591" s="5">
        <v>1131633.0</v>
      </c>
    </row>
    <row r="1592">
      <c r="Z1592" s="5">
        <v>1590.0</v>
      </c>
      <c r="AA1592" s="5">
        <v>1131462.0</v>
      </c>
    </row>
    <row r="1593">
      <c r="Z1593" s="5">
        <v>1591.0</v>
      </c>
      <c r="AA1593" s="5">
        <v>1126724.0</v>
      </c>
    </row>
    <row r="1594">
      <c r="Z1594" s="5">
        <v>1592.0</v>
      </c>
      <c r="AA1594" s="5">
        <v>1123002.0</v>
      </c>
    </row>
    <row r="1595">
      <c r="Z1595" s="5">
        <v>1593.0</v>
      </c>
      <c r="AA1595" s="5">
        <v>1121163.0</v>
      </c>
    </row>
    <row r="1596">
      <c r="Z1596" s="5">
        <v>1594.0</v>
      </c>
      <c r="AA1596" s="5">
        <v>1120600.0</v>
      </c>
    </row>
    <row r="1597">
      <c r="Z1597" s="5">
        <v>1595.0</v>
      </c>
      <c r="AA1597" s="5">
        <v>1117992.0</v>
      </c>
    </row>
    <row r="1598">
      <c r="Z1598" s="5">
        <v>1596.0</v>
      </c>
      <c r="AA1598" s="5">
        <v>1110687.0</v>
      </c>
    </row>
    <row r="1599">
      <c r="Z1599" s="5">
        <v>1597.0</v>
      </c>
      <c r="AA1599" s="5">
        <v>1109094.0</v>
      </c>
    </row>
    <row r="1600">
      <c r="Z1600" s="5">
        <v>1598.0</v>
      </c>
      <c r="AA1600" s="5">
        <v>1108787.0</v>
      </c>
    </row>
    <row r="1601">
      <c r="Z1601" s="5">
        <v>1599.0</v>
      </c>
      <c r="AA1601" s="5">
        <v>1106840.0</v>
      </c>
    </row>
    <row r="1602">
      <c r="Z1602" s="5">
        <v>1600.0</v>
      </c>
      <c r="AA1602" s="5">
        <v>1106170.0</v>
      </c>
    </row>
    <row r="1603">
      <c r="Z1603" s="5">
        <v>1601.0</v>
      </c>
      <c r="AA1603" s="5">
        <v>1105751.0</v>
      </c>
    </row>
    <row r="1604">
      <c r="Z1604" s="5">
        <v>1602.0</v>
      </c>
      <c r="AA1604" s="5">
        <v>1105748.0</v>
      </c>
    </row>
    <row r="1605">
      <c r="Z1605" s="5">
        <v>1603.0</v>
      </c>
      <c r="AA1605" s="5">
        <v>1105202.0</v>
      </c>
    </row>
    <row r="1606">
      <c r="Z1606" s="5">
        <v>1604.0</v>
      </c>
      <c r="AA1606" s="5">
        <v>1101866.0</v>
      </c>
    </row>
    <row r="1607">
      <c r="Z1607" s="5">
        <v>1605.0</v>
      </c>
      <c r="AA1607" s="5">
        <v>1098954.0</v>
      </c>
    </row>
    <row r="1608">
      <c r="Z1608" s="5">
        <v>1606.0</v>
      </c>
      <c r="AA1608" s="5">
        <v>1098812.0</v>
      </c>
    </row>
    <row r="1609">
      <c r="Z1609" s="5">
        <v>1607.0</v>
      </c>
      <c r="AA1609" s="5">
        <v>1098350.0</v>
      </c>
    </row>
    <row r="1610">
      <c r="Z1610" s="5">
        <v>1608.0</v>
      </c>
      <c r="AA1610" s="5">
        <v>1088381.0</v>
      </c>
    </row>
    <row r="1611">
      <c r="Z1611" s="5">
        <v>1609.0</v>
      </c>
      <c r="AA1611" s="5">
        <v>1088083.0</v>
      </c>
    </row>
    <row r="1612">
      <c r="Z1612" s="5">
        <v>1610.0</v>
      </c>
      <c r="AA1612" s="5">
        <v>1084234.0</v>
      </c>
    </row>
    <row r="1613">
      <c r="Z1613" s="5">
        <v>1611.0</v>
      </c>
      <c r="AA1613" s="5">
        <v>1084033.0</v>
      </c>
    </row>
    <row r="1614">
      <c r="Z1614" s="5">
        <v>1612.0</v>
      </c>
      <c r="AA1614" s="5">
        <v>1081876.0</v>
      </c>
    </row>
    <row r="1615">
      <c r="Z1615" s="5">
        <v>1613.0</v>
      </c>
      <c r="AA1615" s="5">
        <v>1079649.0</v>
      </c>
    </row>
    <row r="1616">
      <c r="Z1616" s="5">
        <v>1614.0</v>
      </c>
      <c r="AA1616" s="5">
        <v>1079603.0</v>
      </c>
    </row>
    <row r="1617">
      <c r="Z1617" s="5">
        <v>1615.0</v>
      </c>
      <c r="AA1617" s="5">
        <v>1074068.0</v>
      </c>
    </row>
    <row r="1618">
      <c r="Z1618" s="5">
        <v>1616.0</v>
      </c>
      <c r="AA1618" s="5">
        <v>1074065.0</v>
      </c>
    </row>
    <row r="1619">
      <c r="Z1619" s="5">
        <v>1617.0</v>
      </c>
      <c r="AA1619" s="5">
        <v>1073806.0</v>
      </c>
    </row>
    <row r="1620">
      <c r="Z1620" s="5">
        <v>1618.0</v>
      </c>
      <c r="AA1620" s="5">
        <v>1070979.0</v>
      </c>
    </row>
    <row r="1621">
      <c r="Z1621" s="5">
        <v>1619.0</v>
      </c>
      <c r="AA1621" s="5">
        <v>1070873.0</v>
      </c>
    </row>
    <row r="1622">
      <c r="Z1622" s="5">
        <v>1620.0</v>
      </c>
      <c r="AA1622" s="5">
        <v>1068220.0</v>
      </c>
    </row>
    <row r="1623">
      <c r="Z1623" s="5">
        <v>1621.0</v>
      </c>
      <c r="AA1623" s="5">
        <v>1067710.0</v>
      </c>
    </row>
    <row r="1624">
      <c r="Z1624" s="5">
        <v>1622.0</v>
      </c>
      <c r="AA1624" s="5">
        <v>1066382.0</v>
      </c>
    </row>
    <row r="1625">
      <c r="Z1625" s="5">
        <v>1623.0</v>
      </c>
      <c r="AA1625" s="5">
        <v>1066068.0</v>
      </c>
    </row>
    <row r="1626">
      <c r="Z1626" s="5">
        <v>1624.0</v>
      </c>
      <c r="AA1626" s="5">
        <v>1065575.0</v>
      </c>
    </row>
    <row r="1627">
      <c r="Z1627" s="5">
        <v>1625.0</v>
      </c>
      <c r="AA1627" s="5">
        <v>1065091.0</v>
      </c>
    </row>
    <row r="1628">
      <c r="Z1628" s="5">
        <v>1626.0</v>
      </c>
      <c r="AA1628" s="5">
        <v>1064772.0</v>
      </c>
    </row>
    <row r="1629">
      <c r="Z1629" s="5">
        <v>1627.0</v>
      </c>
      <c r="AA1629" s="5">
        <v>1063230.0</v>
      </c>
    </row>
    <row r="1630">
      <c r="Z1630" s="5">
        <v>1628.0</v>
      </c>
      <c r="AA1630" s="5">
        <v>1061871.0</v>
      </c>
    </row>
    <row r="1631">
      <c r="Z1631" s="5">
        <v>1629.0</v>
      </c>
      <c r="AA1631" s="5">
        <v>1060809.0</v>
      </c>
    </row>
    <row r="1632">
      <c r="Z1632" s="5">
        <v>1630.0</v>
      </c>
      <c r="AA1632" s="5">
        <v>1059537.0</v>
      </c>
    </row>
    <row r="1633">
      <c r="Z1633" s="5">
        <v>1631.0</v>
      </c>
      <c r="AA1633" s="5">
        <v>1058564.0</v>
      </c>
    </row>
    <row r="1634">
      <c r="Z1634" s="5">
        <v>1632.0</v>
      </c>
      <c r="AA1634" s="5">
        <v>1057615.0</v>
      </c>
    </row>
    <row r="1635">
      <c r="Z1635" s="5">
        <v>1633.0</v>
      </c>
      <c r="AA1635" s="5">
        <v>1057068.0</v>
      </c>
    </row>
    <row r="1636">
      <c r="Z1636" s="5">
        <v>1634.0</v>
      </c>
      <c r="AA1636" s="5">
        <v>1056819.0</v>
      </c>
    </row>
    <row r="1637">
      <c r="Z1637" s="5">
        <v>1635.0</v>
      </c>
      <c r="AA1637" s="5">
        <v>1055574.0</v>
      </c>
    </row>
    <row r="1638">
      <c r="Z1638" s="5">
        <v>1636.0</v>
      </c>
      <c r="AA1638" s="5">
        <v>1055008.0</v>
      </c>
    </row>
    <row r="1639">
      <c r="Z1639" s="5">
        <v>1637.0</v>
      </c>
      <c r="AA1639" s="5">
        <v>1054550.0</v>
      </c>
    </row>
    <row r="1640">
      <c r="Z1640" s="5">
        <v>1638.0</v>
      </c>
      <c r="AA1640" s="5">
        <v>1054548.0</v>
      </c>
    </row>
    <row r="1641">
      <c r="Z1641" s="5">
        <v>1639.0</v>
      </c>
      <c r="AA1641" s="5">
        <v>1053870.0</v>
      </c>
    </row>
    <row r="1642">
      <c r="Z1642" s="5">
        <v>1640.0</v>
      </c>
      <c r="AA1642" s="5">
        <v>1051507.0</v>
      </c>
    </row>
    <row r="1643">
      <c r="Z1643" s="5">
        <v>1641.0</v>
      </c>
      <c r="AA1643" s="5">
        <v>1051477.0</v>
      </c>
    </row>
    <row r="1644">
      <c r="Z1644" s="5">
        <v>1642.0</v>
      </c>
      <c r="AA1644" s="5">
        <v>1050345.0</v>
      </c>
    </row>
    <row r="1645">
      <c r="Z1645" s="5">
        <v>1643.0</v>
      </c>
      <c r="AA1645" s="5">
        <v>1050306.0</v>
      </c>
    </row>
    <row r="1646">
      <c r="Z1646" s="5">
        <v>1644.0</v>
      </c>
      <c r="AA1646" s="5">
        <v>1046883.0</v>
      </c>
    </row>
    <row r="1647">
      <c r="Z1647" s="5">
        <v>1645.0</v>
      </c>
      <c r="AA1647" s="5">
        <v>1046682.0</v>
      </c>
    </row>
    <row r="1648">
      <c r="Z1648" s="5">
        <v>1646.0</v>
      </c>
      <c r="AA1648" s="5">
        <v>1042024.0</v>
      </c>
    </row>
    <row r="1649">
      <c r="Z1649" s="5">
        <v>1647.0</v>
      </c>
      <c r="AA1649" s="5">
        <v>1041798.0</v>
      </c>
    </row>
    <row r="1650">
      <c r="Z1650" s="5">
        <v>1648.0</v>
      </c>
      <c r="AA1650" s="5">
        <v>1041390.0</v>
      </c>
    </row>
    <row r="1651">
      <c r="Z1651" s="5">
        <v>1649.0</v>
      </c>
      <c r="AA1651" s="5">
        <v>1040291.0</v>
      </c>
    </row>
    <row r="1652">
      <c r="Z1652" s="5">
        <v>1650.0</v>
      </c>
      <c r="AA1652" s="5">
        <v>1038936.0</v>
      </c>
    </row>
    <row r="1653">
      <c r="Z1653" s="5">
        <v>1651.0</v>
      </c>
      <c r="AA1653" s="5">
        <v>1038506.0</v>
      </c>
    </row>
    <row r="1654">
      <c r="Z1654" s="5">
        <v>1652.0</v>
      </c>
      <c r="AA1654" s="5">
        <v>1037065.0</v>
      </c>
    </row>
    <row r="1655">
      <c r="Z1655" s="5">
        <v>1653.0</v>
      </c>
      <c r="AA1655" s="5">
        <v>1036780.0</v>
      </c>
    </row>
    <row r="1656">
      <c r="Z1656" s="5">
        <v>1654.0</v>
      </c>
      <c r="AA1656" s="5">
        <v>1036257.0</v>
      </c>
    </row>
    <row r="1657">
      <c r="Z1657" s="5">
        <v>1655.0</v>
      </c>
      <c r="AA1657" s="5">
        <v>1034681.0</v>
      </c>
    </row>
    <row r="1658">
      <c r="Z1658" s="5">
        <v>1656.0</v>
      </c>
      <c r="AA1658" s="5">
        <v>1034681.0</v>
      </c>
    </row>
    <row r="1659">
      <c r="Z1659" s="5">
        <v>1657.0</v>
      </c>
      <c r="AA1659" s="5">
        <v>1034681.0</v>
      </c>
    </row>
    <row r="1660">
      <c r="Z1660" s="5">
        <v>1658.0</v>
      </c>
      <c r="AA1660" s="5">
        <v>1034595.0</v>
      </c>
    </row>
    <row r="1661">
      <c r="Z1661" s="5">
        <v>1659.0</v>
      </c>
      <c r="AA1661" s="5">
        <v>1033912.0</v>
      </c>
    </row>
    <row r="1662">
      <c r="Z1662" s="5">
        <v>1660.0</v>
      </c>
      <c r="AA1662" s="5">
        <v>1033078.0</v>
      </c>
    </row>
    <row r="1663">
      <c r="Z1663" s="5">
        <v>1661.0</v>
      </c>
      <c r="AA1663" s="5">
        <v>1032716.0</v>
      </c>
    </row>
    <row r="1664">
      <c r="Z1664" s="5">
        <v>1662.0</v>
      </c>
      <c r="AA1664" s="5">
        <v>1031732.0</v>
      </c>
    </row>
    <row r="1665">
      <c r="Z1665" s="5">
        <v>1663.0</v>
      </c>
      <c r="AA1665" s="5">
        <v>1031382.0</v>
      </c>
    </row>
    <row r="1666">
      <c r="Z1666" s="5">
        <v>1664.0</v>
      </c>
      <c r="AA1666" s="5">
        <v>1029919.0</v>
      </c>
    </row>
    <row r="1667">
      <c r="Z1667" s="5">
        <v>1665.0</v>
      </c>
      <c r="AA1667" s="5">
        <v>1028913.0</v>
      </c>
    </row>
    <row r="1668">
      <c r="Z1668" s="5">
        <v>1666.0</v>
      </c>
      <c r="AA1668" s="5">
        <v>1028143.0</v>
      </c>
    </row>
    <row r="1669">
      <c r="Z1669" s="5">
        <v>1667.0</v>
      </c>
      <c r="AA1669" s="5">
        <v>1027718.0</v>
      </c>
    </row>
    <row r="1670">
      <c r="Z1670" s="5">
        <v>1668.0</v>
      </c>
      <c r="AA1670" s="5">
        <v>1027634.0</v>
      </c>
    </row>
    <row r="1671">
      <c r="Z1671" s="5">
        <v>1669.0</v>
      </c>
      <c r="AA1671" s="5">
        <v>1026319.0</v>
      </c>
    </row>
    <row r="1672">
      <c r="Z1672" s="5">
        <v>1670.0</v>
      </c>
      <c r="AA1672" s="5">
        <v>1026319.0</v>
      </c>
    </row>
    <row r="1673">
      <c r="Z1673" s="5">
        <v>1671.0</v>
      </c>
      <c r="AA1673" s="5">
        <v>1026168.0</v>
      </c>
    </row>
    <row r="1674">
      <c r="Z1674" s="5">
        <v>1672.0</v>
      </c>
      <c r="AA1674" s="5">
        <v>1023875.0</v>
      </c>
    </row>
    <row r="1675">
      <c r="Z1675" s="5">
        <v>1673.0</v>
      </c>
      <c r="AA1675" s="5">
        <v>1023393.0</v>
      </c>
    </row>
    <row r="1676">
      <c r="Z1676" s="5">
        <v>1674.0</v>
      </c>
      <c r="AA1676" s="5">
        <v>1022975.0</v>
      </c>
    </row>
    <row r="1677">
      <c r="Z1677" s="5">
        <v>1675.0</v>
      </c>
      <c r="AA1677" s="5">
        <v>1022305.0</v>
      </c>
    </row>
    <row r="1678">
      <c r="Z1678" s="5">
        <v>1676.0</v>
      </c>
      <c r="AA1678" s="5">
        <v>1020957.0</v>
      </c>
    </row>
    <row r="1679">
      <c r="Z1679" s="5">
        <v>1677.0</v>
      </c>
      <c r="AA1679" s="5">
        <v>1020821.0</v>
      </c>
    </row>
    <row r="1680">
      <c r="Z1680" s="5">
        <v>1678.0</v>
      </c>
      <c r="AA1680" s="5">
        <v>1020792.0</v>
      </c>
    </row>
    <row r="1681">
      <c r="Z1681" s="5">
        <v>1679.0</v>
      </c>
      <c r="AA1681" s="5">
        <v>1020792.0</v>
      </c>
    </row>
    <row r="1682">
      <c r="Z1682" s="5">
        <v>1680.0</v>
      </c>
      <c r="AA1682" s="5">
        <v>1020792.0</v>
      </c>
    </row>
    <row r="1683">
      <c r="Z1683" s="5">
        <v>1681.0</v>
      </c>
      <c r="AA1683" s="5">
        <v>1020792.0</v>
      </c>
    </row>
    <row r="1684">
      <c r="Z1684" s="5">
        <v>1682.0</v>
      </c>
      <c r="AA1684" s="5">
        <v>1020792.0</v>
      </c>
    </row>
    <row r="1685">
      <c r="Z1685" s="5">
        <v>1683.0</v>
      </c>
      <c r="AA1685" s="5">
        <v>1020790.0</v>
      </c>
    </row>
    <row r="1686">
      <c r="Z1686" s="5">
        <v>1684.0</v>
      </c>
      <c r="AA1686" s="5">
        <v>1020790.0</v>
      </c>
    </row>
    <row r="1687">
      <c r="Z1687" s="5">
        <v>1685.0</v>
      </c>
      <c r="AA1687" s="5">
        <v>1020714.0</v>
      </c>
    </row>
    <row r="1688">
      <c r="Z1688" s="5">
        <v>1686.0</v>
      </c>
      <c r="AA1688" s="5">
        <v>1019974.0</v>
      </c>
    </row>
    <row r="1689">
      <c r="Z1689" s="5">
        <v>1687.0</v>
      </c>
      <c r="AA1689" s="5">
        <v>1019756.0</v>
      </c>
    </row>
    <row r="1690">
      <c r="Z1690" s="5">
        <v>1688.0</v>
      </c>
      <c r="AA1690" s="5">
        <v>1018604.0</v>
      </c>
    </row>
    <row r="1691">
      <c r="Z1691" s="5">
        <v>1689.0</v>
      </c>
      <c r="AA1691" s="5">
        <v>1018163.0</v>
      </c>
    </row>
    <row r="1692">
      <c r="Z1692" s="5">
        <v>1690.0</v>
      </c>
      <c r="AA1692" s="5">
        <v>1017778.0</v>
      </c>
    </row>
    <row r="1693">
      <c r="Z1693" s="5">
        <v>1691.0</v>
      </c>
      <c r="AA1693" s="5">
        <v>1015678.0</v>
      </c>
    </row>
    <row r="1694">
      <c r="Z1694" s="5">
        <v>1692.0</v>
      </c>
      <c r="AA1694" s="5">
        <v>1015499.0</v>
      </c>
    </row>
    <row r="1695">
      <c r="Z1695" s="5">
        <v>1693.0</v>
      </c>
      <c r="AA1695" s="5">
        <v>1014876.0</v>
      </c>
    </row>
    <row r="1696">
      <c r="Z1696" s="5">
        <v>1694.0</v>
      </c>
      <c r="AA1696" s="5">
        <v>1014876.0</v>
      </c>
    </row>
    <row r="1697">
      <c r="Z1697" s="5">
        <v>1695.0</v>
      </c>
      <c r="AA1697" s="5">
        <v>1014876.0</v>
      </c>
    </row>
    <row r="1698">
      <c r="Z1698" s="5">
        <v>1696.0</v>
      </c>
      <c r="AA1698" s="5">
        <v>1014876.0</v>
      </c>
    </row>
    <row r="1699">
      <c r="Z1699" s="5">
        <v>1697.0</v>
      </c>
      <c r="AA1699" s="5">
        <v>1014876.0</v>
      </c>
    </row>
    <row r="1700">
      <c r="Z1700" s="5">
        <v>1698.0</v>
      </c>
      <c r="AA1700" s="5">
        <v>1014876.0</v>
      </c>
    </row>
    <row r="1701">
      <c r="Z1701" s="5">
        <v>1699.0</v>
      </c>
      <c r="AA1701" s="5">
        <v>1014876.0</v>
      </c>
    </row>
    <row r="1702">
      <c r="Z1702" s="5">
        <v>1700.0</v>
      </c>
      <c r="AA1702" s="5">
        <v>1014876.0</v>
      </c>
    </row>
    <row r="1703">
      <c r="Z1703" s="5">
        <v>1701.0</v>
      </c>
      <c r="AA1703" s="5">
        <v>1014700.0</v>
      </c>
    </row>
    <row r="1704">
      <c r="Z1704" s="5">
        <v>1702.0</v>
      </c>
      <c r="AA1704" s="5">
        <v>1014348.0</v>
      </c>
    </row>
    <row r="1705">
      <c r="Z1705" s="5">
        <v>1703.0</v>
      </c>
      <c r="AA1705" s="5">
        <v>1013974.0</v>
      </c>
    </row>
    <row r="1706">
      <c r="Z1706" s="5">
        <v>1704.0</v>
      </c>
      <c r="AA1706" s="5">
        <v>1013573.0</v>
      </c>
    </row>
    <row r="1707">
      <c r="Z1707" s="5">
        <v>1705.0</v>
      </c>
      <c r="AA1707" s="5">
        <v>1012676.0</v>
      </c>
    </row>
    <row r="1708">
      <c r="Z1708" s="5">
        <v>1706.0</v>
      </c>
      <c r="AA1708" s="5">
        <v>1010772.0</v>
      </c>
    </row>
    <row r="1709">
      <c r="Z1709" s="5">
        <v>1707.0</v>
      </c>
      <c r="AA1709" s="5">
        <v>1008497.0</v>
      </c>
    </row>
    <row r="1710">
      <c r="Z1710" s="5">
        <v>1708.0</v>
      </c>
      <c r="AA1710" s="5">
        <v>1008497.0</v>
      </c>
    </row>
    <row r="1711">
      <c r="Z1711" s="5">
        <v>1709.0</v>
      </c>
      <c r="AA1711" s="5">
        <v>1008410.0</v>
      </c>
    </row>
    <row r="1712">
      <c r="Z1712" s="5">
        <v>1710.0</v>
      </c>
      <c r="AA1712" s="5">
        <v>1007517.0</v>
      </c>
    </row>
    <row r="1713">
      <c r="Z1713" s="5">
        <v>1711.0</v>
      </c>
      <c r="AA1713" s="5">
        <v>1005225.0</v>
      </c>
    </row>
    <row r="1714">
      <c r="Z1714" s="5">
        <v>1712.0</v>
      </c>
      <c r="AA1714" s="5">
        <v>1004487.0</v>
      </c>
    </row>
    <row r="1715">
      <c r="Z1715" s="5">
        <v>1713.0</v>
      </c>
      <c r="AA1715" s="5">
        <v>1003991.0</v>
      </c>
    </row>
    <row r="1716">
      <c r="Z1716" s="5">
        <v>1714.0</v>
      </c>
      <c r="AA1716" s="5">
        <v>1002867.0</v>
      </c>
    </row>
    <row r="1717">
      <c r="Z1717" s="5">
        <v>1715.0</v>
      </c>
      <c r="AA1717" s="5">
        <v>1002867.0</v>
      </c>
    </row>
    <row r="1718">
      <c r="Z1718" s="5">
        <v>1716.0</v>
      </c>
      <c r="AA1718" s="5">
        <v>1002867.0</v>
      </c>
    </row>
    <row r="1719">
      <c r="Z1719" s="5">
        <v>1717.0</v>
      </c>
      <c r="AA1719" s="5">
        <v>1002679.0</v>
      </c>
    </row>
    <row r="1720">
      <c r="Z1720" s="5">
        <v>1718.0</v>
      </c>
      <c r="AA1720" s="5">
        <v>1002515.0</v>
      </c>
    </row>
    <row r="1721">
      <c r="Z1721" s="5">
        <v>1719.0</v>
      </c>
      <c r="AA1721" s="5">
        <v>1002467.0</v>
      </c>
    </row>
    <row r="1722">
      <c r="Z1722" s="5">
        <v>1720.0</v>
      </c>
      <c r="AA1722" s="5">
        <v>1002252.0</v>
      </c>
    </row>
    <row r="1723">
      <c r="Z1723" s="5">
        <v>1721.0</v>
      </c>
      <c r="AA1723" s="5">
        <v>1001461.0</v>
      </c>
    </row>
    <row r="1724">
      <c r="Z1724" s="5">
        <v>1722.0</v>
      </c>
      <c r="AA1724" s="5">
        <v>1001369.0</v>
      </c>
    </row>
    <row r="1725">
      <c r="Z1725" s="5">
        <v>1723.0</v>
      </c>
      <c r="AA1725" s="5">
        <v>999685.0</v>
      </c>
    </row>
    <row r="1726">
      <c r="Z1726" s="5">
        <v>1724.0</v>
      </c>
      <c r="AA1726" s="5">
        <v>999384.0</v>
      </c>
    </row>
    <row r="1727">
      <c r="Z1727" s="5">
        <v>1725.0</v>
      </c>
      <c r="AA1727" s="5">
        <v>998586.0</v>
      </c>
    </row>
    <row r="1728">
      <c r="Z1728" s="5">
        <v>1726.0</v>
      </c>
      <c r="AA1728" s="5">
        <v>998427.0</v>
      </c>
    </row>
    <row r="1729">
      <c r="Z1729" s="5">
        <v>1727.0</v>
      </c>
      <c r="AA1729" s="5">
        <v>998356.0</v>
      </c>
    </row>
    <row r="1730">
      <c r="Z1730" s="5">
        <v>1728.0</v>
      </c>
      <c r="AA1730" s="5">
        <v>997757.0</v>
      </c>
    </row>
    <row r="1731">
      <c r="Z1731" s="5">
        <v>1729.0</v>
      </c>
      <c r="AA1731" s="5">
        <v>996854.0</v>
      </c>
    </row>
    <row r="1732">
      <c r="Z1732" s="5">
        <v>1730.0</v>
      </c>
      <c r="AA1732" s="5">
        <v>994889.0</v>
      </c>
    </row>
    <row r="1733">
      <c r="Z1733" s="5">
        <v>1731.0</v>
      </c>
      <c r="AA1733" s="5">
        <v>994667.0</v>
      </c>
    </row>
    <row r="1734">
      <c r="Z1734" s="5">
        <v>1732.0</v>
      </c>
      <c r="AA1734" s="5">
        <v>994368.0</v>
      </c>
    </row>
    <row r="1735">
      <c r="Z1735" s="5">
        <v>1733.0</v>
      </c>
      <c r="AA1735" s="5">
        <v>994062.0</v>
      </c>
    </row>
    <row r="1736">
      <c r="Z1736" s="5">
        <v>1734.0</v>
      </c>
      <c r="AA1736" s="5">
        <v>993985.0</v>
      </c>
    </row>
    <row r="1737">
      <c r="Z1737" s="5">
        <v>1735.0</v>
      </c>
      <c r="AA1737" s="5">
        <v>993546.0</v>
      </c>
    </row>
    <row r="1738">
      <c r="Z1738" s="5">
        <v>1736.0</v>
      </c>
      <c r="AA1738" s="5">
        <v>993546.0</v>
      </c>
    </row>
    <row r="1739">
      <c r="Z1739" s="5">
        <v>1737.0</v>
      </c>
      <c r="AA1739" s="5">
        <v>993546.0</v>
      </c>
    </row>
    <row r="1740">
      <c r="Z1740" s="5">
        <v>1738.0</v>
      </c>
      <c r="AA1740" s="5">
        <v>993464.0</v>
      </c>
    </row>
    <row r="1741">
      <c r="Z1741" s="5">
        <v>1739.0</v>
      </c>
      <c r="AA1741" s="5">
        <v>993317.0</v>
      </c>
    </row>
    <row r="1742">
      <c r="Z1742" s="5">
        <v>1740.0</v>
      </c>
      <c r="AA1742" s="5">
        <v>993296.0</v>
      </c>
    </row>
    <row r="1743">
      <c r="Z1743" s="5">
        <v>1741.0</v>
      </c>
      <c r="AA1743" s="5">
        <v>993295.0</v>
      </c>
    </row>
    <row r="1744">
      <c r="Z1744" s="5">
        <v>1742.0</v>
      </c>
      <c r="AA1744" s="5">
        <v>993295.0</v>
      </c>
    </row>
    <row r="1745">
      <c r="Z1745" s="5">
        <v>1743.0</v>
      </c>
      <c r="AA1745" s="5">
        <v>993295.0</v>
      </c>
    </row>
    <row r="1746">
      <c r="Z1746" s="5">
        <v>1744.0</v>
      </c>
      <c r="AA1746" s="5">
        <v>992960.0</v>
      </c>
    </row>
    <row r="1747">
      <c r="Z1747" s="5">
        <v>1745.0</v>
      </c>
      <c r="AA1747" s="5">
        <v>992923.0</v>
      </c>
    </row>
    <row r="1748">
      <c r="Z1748" s="5">
        <v>1746.0</v>
      </c>
      <c r="AA1748" s="5">
        <v>992791.0</v>
      </c>
    </row>
    <row r="1749">
      <c r="Z1749" s="5">
        <v>1747.0</v>
      </c>
      <c r="AA1749" s="5">
        <v>992773.0</v>
      </c>
    </row>
    <row r="1750">
      <c r="Z1750" s="5">
        <v>1748.0</v>
      </c>
      <c r="AA1750" s="5">
        <v>990196.0</v>
      </c>
    </row>
    <row r="1751">
      <c r="Z1751" s="5">
        <v>1749.0</v>
      </c>
      <c r="AA1751" s="5">
        <v>988256.0</v>
      </c>
    </row>
    <row r="1752">
      <c r="Z1752" s="5">
        <v>1750.0</v>
      </c>
      <c r="AA1752" s="5">
        <v>987814.0</v>
      </c>
    </row>
    <row r="1753">
      <c r="Z1753" s="5">
        <v>1751.0</v>
      </c>
      <c r="AA1753" s="5">
        <v>985991.0</v>
      </c>
    </row>
    <row r="1754">
      <c r="Z1754" s="5">
        <v>1752.0</v>
      </c>
      <c r="AA1754" s="5">
        <v>985765.0</v>
      </c>
    </row>
    <row r="1755">
      <c r="Z1755" s="5">
        <v>1753.0</v>
      </c>
      <c r="AA1755" s="5">
        <v>985307.0</v>
      </c>
    </row>
    <row r="1756">
      <c r="Z1756" s="5">
        <v>1754.0</v>
      </c>
      <c r="AA1756" s="5">
        <v>985307.0</v>
      </c>
    </row>
    <row r="1757">
      <c r="Z1757" s="5">
        <v>1755.0</v>
      </c>
      <c r="AA1757" s="5">
        <v>985307.0</v>
      </c>
    </row>
    <row r="1758">
      <c r="Z1758" s="5">
        <v>1756.0</v>
      </c>
      <c r="AA1758" s="5">
        <v>985307.0</v>
      </c>
    </row>
    <row r="1759">
      <c r="Z1759" s="5">
        <v>1757.0</v>
      </c>
      <c r="AA1759" s="5">
        <v>985307.0</v>
      </c>
    </row>
    <row r="1760">
      <c r="Z1760" s="5">
        <v>1758.0</v>
      </c>
      <c r="AA1760" s="5">
        <v>985307.0</v>
      </c>
    </row>
    <row r="1761">
      <c r="Z1761" s="5">
        <v>1759.0</v>
      </c>
      <c r="AA1761" s="5">
        <v>985080.0</v>
      </c>
    </row>
    <row r="1762">
      <c r="Z1762" s="5">
        <v>1760.0</v>
      </c>
      <c r="AA1762" s="5">
        <v>984025.0</v>
      </c>
    </row>
    <row r="1763">
      <c r="Z1763" s="5">
        <v>1761.0</v>
      </c>
      <c r="AA1763" s="5">
        <v>983353.0</v>
      </c>
    </row>
    <row r="1764">
      <c r="Z1764" s="5">
        <v>1762.0</v>
      </c>
      <c r="AA1764" s="5">
        <v>982849.0</v>
      </c>
    </row>
    <row r="1765">
      <c r="Z1765" s="5">
        <v>1763.0</v>
      </c>
      <c r="AA1765" s="5">
        <v>982169.0</v>
      </c>
    </row>
    <row r="1766">
      <c r="Z1766" s="5">
        <v>1764.0</v>
      </c>
      <c r="AA1766" s="5">
        <v>981151.0</v>
      </c>
    </row>
    <row r="1767">
      <c r="Z1767" s="5">
        <v>1765.0</v>
      </c>
      <c r="AA1767" s="5">
        <v>980100.0</v>
      </c>
    </row>
    <row r="1768">
      <c r="Z1768" s="5">
        <v>1766.0</v>
      </c>
      <c r="AA1768" s="5">
        <v>977495.0</v>
      </c>
    </row>
    <row r="1769">
      <c r="Z1769" s="5">
        <v>1767.0</v>
      </c>
      <c r="AA1769" s="5">
        <v>977260.0</v>
      </c>
    </row>
    <row r="1770">
      <c r="Z1770" s="5">
        <v>1768.0</v>
      </c>
      <c r="AA1770" s="5">
        <v>974316.0</v>
      </c>
    </row>
    <row r="1771">
      <c r="Z1771" s="5">
        <v>1769.0</v>
      </c>
      <c r="AA1771" s="5">
        <v>973606.0</v>
      </c>
    </row>
    <row r="1772">
      <c r="Z1772" s="5">
        <v>1770.0</v>
      </c>
      <c r="AA1772" s="5">
        <v>973498.0</v>
      </c>
    </row>
    <row r="1773">
      <c r="Z1773" s="5">
        <v>1771.0</v>
      </c>
      <c r="AA1773" s="5">
        <v>973444.0</v>
      </c>
    </row>
    <row r="1774">
      <c r="Z1774" s="5">
        <v>1772.0</v>
      </c>
      <c r="AA1774" s="5">
        <v>972805.0</v>
      </c>
    </row>
    <row r="1775">
      <c r="Z1775" s="5">
        <v>1773.0</v>
      </c>
      <c r="AA1775" s="5">
        <v>972536.0</v>
      </c>
    </row>
    <row r="1776">
      <c r="Z1776" s="5">
        <v>1774.0</v>
      </c>
      <c r="AA1776" s="5">
        <v>971546.0</v>
      </c>
    </row>
    <row r="1777">
      <c r="Z1777" s="5">
        <v>1775.0</v>
      </c>
      <c r="AA1777" s="5">
        <v>971302.0</v>
      </c>
    </row>
    <row r="1778">
      <c r="Z1778" s="5">
        <v>1776.0</v>
      </c>
      <c r="AA1778" s="5">
        <v>971302.0</v>
      </c>
    </row>
    <row r="1779">
      <c r="Z1779" s="5">
        <v>1777.0</v>
      </c>
      <c r="AA1779" s="5">
        <v>971302.0</v>
      </c>
    </row>
    <row r="1780">
      <c r="Z1780" s="5">
        <v>1778.0</v>
      </c>
      <c r="AA1780" s="5">
        <v>971168.0</v>
      </c>
    </row>
    <row r="1781">
      <c r="Z1781" s="5">
        <v>1779.0</v>
      </c>
      <c r="AA1781" s="5">
        <v>969758.0</v>
      </c>
    </row>
    <row r="1782">
      <c r="Z1782" s="5">
        <v>1780.0</v>
      </c>
      <c r="AA1782" s="5">
        <v>968422.0</v>
      </c>
    </row>
    <row r="1783">
      <c r="Z1783" s="5">
        <v>1781.0</v>
      </c>
      <c r="AA1783" s="5">
        <v>964928.0</v>
      </c>
    </row>
    <row r="1784">
      <c r="Z1784" s="5">
        <v>1782.0</v>
      </c>
      <c r="AA1784" s="5">
        <v>963834.0</v>
      </c>
    </row>
    <row r="1785">
      <c r="Z1785" s="5">
        <v>1783.0</v>
      </c>
      <c r="AA1785" s="5">
        <v>963686.0</v>
      </c>
    </row>
    <row r="1786">
      <c r="Z1786" s="5">
        <v>1784.0</v>
      </c>
      <c r="AA1786" s="5">
        <v>963267.0</v>
      </c>
    </row>
    <row r="1787">
      <c r="Z1787" s="5">
        <v>1785.0</v>
      </c>
      <c r="AA1787" s="5">
        <v>962849.0</v>
      </c>
    </row>
    <row r="1788">
      <c r="Z1788" s="5">
        <v>1786.0</v>
      </c>
      <c r="AA1788" s="5">
        <v>960409.0</v>
      </c>
    </row>
    <row r="1789">
      <c r="Z1789" s="5">
        <v>1787.0</v>
      </c>
      <c r="AA1789" s="5">
        <v>958921.0</v>
      </c>
    </row>
    <row r="1790">
      <c r="Z1790" s="5">
        <v>1788.0</v>
      </c>
      <c r="AA1790" s="5">
        <v>957747.0</v>
      </c>
    </row>
    <row r="1791">
      <c r="Z1791" s="5">
        <v>1789.0</v>
      </c>
      <c r="AA1791" s="5">
        <v>957210.0</v>
      </c>
    </row>
    <row r="1792">
      <c r="Z1792" s="5">
        <v>1790.0</v>
      </c>
      <c r="AA1792" s="5">
        <v>956266.0</v>
      </c>
    </row>
    <row r="1793">
      <c r="Z1793" s="5">
        <v>1791.0</v>
      </c>
      <c r="AA1793" s="5">
        <v>953915.0</v>
      </c>
    </row>
    <row r="1794">
      <c r="Z1794" s="5">
        <v>1792.0</v>
      </c>
      <c r="AA1794" s="5">
        <v>953915.0</v>
      </c>
    </row>
    <row r="1795">
      <c r="Z1795" s="5">
        <v>1793.0</v>
      </c>
      <c r="AA1795" s="5">
        <v>953266.0</v>
      </c>
    </row>
    <row r="1796">
      <c r="Z1796" s="5">
        <v>1794.0</v>
      </c>
      <c r="AA1796" s="5">
        <v>952745.0</v>
      </c>
    </row>
    <row r="1797">
      <c r="Z1797" s="5">
        <v>1795.0</v>
      </c>
      <c r="AA1797" s="5">
        <v>952644.0</v>
      </c>
    </row>
    <row r="1798">
      <c r="Z1798" s="5">
        <v>1796.0</v>
      </c>
      <c r="AA1798" s="5">
        <v>951977.0</v>
      </c>
    </row>
    <row r="1799">
      <c r="Z1799" s="5">
        <v>1797.0</v>
      </c>
      <c r="AA1799" s="5">
        <v>951795.0</v>
      </c>
    </row>
    <row r="1800">
      <c r="Z1800" s="5">
        <v>1798.0</v>
      </c>
      <c r="AA1800" s="5">
        <v>951643.0</v>
      </c>
    </row>
    <row r="1801">
      <c r="Z1801" s="5">
        <v>1799.0</v>
      </c>
      <c r="AA1801" s="5">
        <v>949885.0</v>
      </c>
    </row>
    <row r="1802">
      <c r="Z1802" s="5">
        <v>1800.0</v>
      </c>
      <c r="AA1802" s="5">
        <v>949656.0</v>
      </c>
    </row>
    <row r="1803">
      <c r="Z1803" s="5">
        <v>1801.0</v>
      </c>
      <c r="AA1803" s="5">
        <v>949481.0</v>
      </c>
    </row>
    <row r="1804">
      <c r="Z1804" s="5">
        <v>1802.0</v>
      </c>
      <c r="AA1804" s="5">
        <v>947979.0</v>
      </c>
    </row>
    <row r="1805">
      <c r="Z1805" s="5">
        <v>1803.0</v>
      </c>
      <c r="AA1805" s="5">
        <v>945775.0</v>
      </c>
    </row>
    <row r="1806">
      <c r="Z1806" s="5">
        <v>1804.0</v>
      </c>
      <c r="AA1806" s="5">
        <v>945464.0</v>
      </c>
    </row>
    <row r="1807">
      <c r="Z1807" s="5">
        <v>1805.0</v>
      </c>
      <c r="AA1807" s="5">
        <v>943639.0</v>
      </c>
    </row>
    <row r="1808">
      <c r="Z1808" s="5">
        <v>1806.0</v>
      </c>
      <c r="AA1808" s="5">
        <v>943321.0</v>
      </c>
    </row>
    <row r="1809">
      <c r="Z1809" s="5">
        <v>1807.0</v>
      </c>
      <c r="AA1809" s="5">
        <v>942392.0</v>
      </c>
    </row>
    <row r="1810">
      <c r="Z1810" s="5">
        <v>1808.0</v>
      </c>
      <c r="AA1810" s="5">
        <v>942035.0</v>
      </c>
    </row>
    <row r="1811">
      <c r="Z1811" s="5">
        <v>1809.0</v>
      </c>
      <c r="AA1811" s="5">
        <v>940013.0</v>
      </c>
    </row>
    <row r="1812">
      <c r="Z1812" s="5">
        <v>1810.0</v>
      </c>
      <c r="AA1812" s="5">
        <v>938249.0</v>
      </c>
    </row>
    <row r="1813">
      <c r="Z1813" s="5">
        <v>1811.0</v>
      </c>
      <c r="AA1813" s="5">
        <v>937339.0</v>
      </c>
    </row>
    <row r="1814">
      <c r="Z1814" s="5">
        <v>1812.0</v>
      </c>
      <c r="AA1814" s="5">
        <v>936614.0</v>
      </c>
    </row>
    <row r="1815">
      <c r="Z1815" s="5">
        <v>1813.0</v>
      </c>
      <c r="AA1815" s="5">
        <v>936388.0</v>
      </c>
    </row>
    <row r="1816">
      <c r="Z1816" s="5">
        <v>1814.0</v>
      </c>
      <c r="AA1816" s="5">
        <v>936293.0</v>
      </c>
    </row>
    <row r="1817">
      <c r="Z1817" s="5">
        <v>1815.0</v>
      </c>
      <c r="AA1817" s="5">
        <v>936293.0</v>
      </c>
    </row>
    <row r="1818">
      <c r="Z1818" s="5">
        <v>1816.0</v>
      </c>
      <c r="AA1818" s="5">
        <v>936293.0</v>
      </c>
    </row>
    <row r="1819">
      <c r="Z1819" s="5">
        <v>1817.0</v>
      </c>
      <c r="AA1819" s="5">
        <v>936289.0</v>
      </c>
    </row>
    <row r="1820">
      <c r="Z1820" s="5">
        <v>1818.0</v>
      </c>
      <c r="AA1820" s="5">
        <v>936213.0</v>
      </c>
    </row>
    <row r="1821">
      <c r="Z1821" s="5">
        <v>1819.0</v>
      </c>
      <c r="AA1821" s="5">
        <v>934467.0</v>
      </c>
    </row>
    <row r="1822">
      <c r="Z1822" s="5">
        <v>1820.0</v>
      </c>
      <c r="AA1822" s="5">
        <v>933146.0</v>
      </c>
    </row>
    <row r="1823">
      <c r="Z1823" s="5">
        <v>1821.0</v>
      </c>
      <c r="AA1823" s="5">
        <v>932755.0</v>
      </c>
    </row>
    <row r="1824">
      <c r="Z1824" s="5">
        <v>1822.0</v>
      </c>
      <c r="AA1824" s="5">
        <v>931734.0</v>
      </c>
    </row>
    <row r="1825">
      <c r="Z1825" s="5">
        <v>1823.0</v>
      </c>
      <c r="AA1825" s="5">
        <v>928611.0</v>
      </c>
    </row>
    <row r="1826">
      <c r="Z1826" s="5">
        <v>1824.0</v>
      </c>
      <c r="AA1826" s="5">
        <v>927505.0</v>
      </c>
    </row>
    <row r="1827">
      <c r="Z1827" s="5">
        <v>1825.0</v>
      </c>
      <c r="AA1827" s="5">
        <v>926848.0</v>
      </c>
    </row>
    <row r="1828">
      <c r="Z1828" s="5">
        <v>1826.0</v>
      </c>
      <c r="AA1828" s="5">
        <v>926432.0</v>
      </c>
    </row>
    <row r="1829">
      <c r="Z1829" s="5">
        <v>1827.0</v>
      </c>
      <c r="AA1829" s="5">
        <v>926410.0</v>
      </c>
    </row>
    <row r="1830">
      <c r="Z1830" s="5">
        <v>1828.0</v>
      </c>
      <c r="AA1830" s="5">
        <v>925973.0</v>
      </c>
    </row>
    <row r="1831">
      <c r="Z1831" s="5">
        <v>1829.0</v>
      </c>
      <c r="AA1831" s="5">
        <v>925521.0</v>
      </c>
    </row>
    <row r="1832">
      <c r="Z1832" s="5">
        <v>1830.0</v>
      </c>
      <c r="AA1832" s="5">
        <v>924750.0</v>
      </c>
    </row>
    <row r="1833">
      <c r="Z1833" s="5">
        <v>1831.0</v>
      </c>
      <c r="AA1833" s="5">
        <v>924186.0</v>
      </c>
    </row>
    <row r="1834">
      <c r="Z1834" s="5">
        <v>1832.0</v>
      </c>
      <c r="AA1834" s="5">
        <v>919553.0</v>
      </c>
    </row>
    <row r="1835">
      <c r="Z1835" s="5">
        <v>1833.0</v>
      </c>
      <c r="AA1835" s="5">
        <v>919299.0</v>
      </c>
    </row>
    <row r="1836">
      <c r="Z1836" s="5">
        <v>1834.0</v>
      </c>
      <c r="AA1836" s="5">
        <v>919108.0</v>
      </c>
    </row>
    <row r="1837">
      <c r="Z1837" s="5">
        <v>1835.0</v>
      </c>
      <c r="AA1837" s="5">
        <v>918150.0</v>
      </c>
    </row>
    <row r="1838">
      <c r="Z1838" s="5">
        <v>1836.0</v>
      </c>
      <c r="AA1838" s="5">
        <v>916818.0</v>
      </c>
    </row>
    <row r="1839">
      <c r="Z1839" s="5">
        <v>1837.0</v>
      </c>
      <c r="AA1839" s="5">
        <v>916572.0</v>
      </c>
    </row>
    <row r="1840">
      <c r="Z1840" s="5">
        <v>1838.0</v>
      </c>
      <c r="AA1840" s="5">
        <v>916179.0</v>
      </c>
    </row>
    <row r="1841">
      <c r="Z1841" s="5">
        <v>1839.0</v>
      </c>
      <c r="AA1841" s="5">
        <v>915851.0</v>
      </c>
    </row>
    <row r="1842">
      <c r="Z1842" s="5">
        <v>1840.0</v>
      </c>
      <c r="AA1842" s="5">
        <v>915633.0</v>
      </c>
    </row>
    <row r="1843">
      <c r="Z1843" s="5">
        <v>1841.0</v>
      </c>
      <c r="AA1843" s="5">
        <v>914062.0</v>
      </c>
    </row>
    <row r="1844">
      <c r="Z1844" s="5">
        <v>1842.0</v>
      </c>
      <c r="AA1844" s="5">
        <v>912389.0</v>
      </c>
    </row>
    <row r="1845">
      <c r="Z1845" s="5">
        <v>1843.0</v>
      </c>
      <c r="AA1845" s="5">
        <v>910406.0</v>
      </c>
    </row>
    <row r="1846">
      <c r="Z1846" s="5">
        <v>1844.0</v>
      </c>
      <c r="AA1846" s="5">
        <v>907764.0</v>
      </c>
    </row>
    <row r="1847">
      <c r="Z1847" s="5">
        <v>1845.0</v>
      </c>
      <c r="AA1847" s="5">
        <v>906997.0</v>
      </c>
    </row>
    <row r="1848">
      <c r="Z1848" s="5">
        <v>1846.0</v>
      </c>
      <c r="AA1848" s="5">
        <v>906997.0</v>
      </c>
    </row>
    <row r="1849">
      <c r="Z1849" s="5">
        <v>1847.0</v>
      </c>
      <c r="AA1849" s="5">
        <v>906997.0</v>
      </c>
    </row>
    <row r="1850">
      <c r="Z1850" s="5">
        <v>1848.0</v>
      </c>
      <c r="AA1850" s="5">
        <v>906997.0</v>
      </c>
    </row>
    <row r="1851">
      <c r="Z1851" s="5">
        <v>1849.0</v>
      </c>
      <c r="AA1851" s="5">
        <v>906843.0</v>
      </c>
    </row>
    <row r="1852">
      <c r="Z1852" s="5">
        <v>1850.0</v>
      </c>
      <c r="AA1852" s="5">
        <v>905553.0</v>
      </c>
    </row>
    <row r="1853">
      <c r="Z1853" s="5">
        <v>1851.0</v>
      </c>
      <c r="AA1853" s="5">
        <v>905510.0</v>
      </c>
    </row>
    <row r="1854">
      <c r="Z1854" s="5">
        <v>1852.0</v>
      </c>
      <c r="AA1854" s="5">
        <v>904169.0</v>
      </c>
    </row>
    <row r="1855">
      <c r="Z1855" s="5">
        <v>1853.0</v>
      </c>
      <c r="AA1855" s="5">
        <v>904076.0</v>
      </c>
    </row>
    <row r="1856">
      <c r="Z1856" s="5">
        <v>1854.0</v>
      </c>
      <c r="AA1856" s="5">
        <v>903791.0</v>
      </c>
    </row>
    <row r="1857">
      <c r="Z1857" s="5">
        <v>1855.0</v>
      </c>
      <c r="AA1857" s="5">
        <v>902050.0</v>
      </c>
    </row>
    <row r="1858">
      <c r="Z1858" s="5">
        <v>1856.0</v>
      </c>
      <c r="AA1858" s="5">
        <v>900943.0</v>
      </c>
    </row>
    <row r="1859">
      <c r="Z1859" s="5">
        <v>1857.0</v>
      </c>
      <c r="AA1859" s="5">
        <v>900717.0</v>
      </c>
    </row>
    <row r="1860">
      <c r="Z1860" s="5">
        <v>1858.0</v>
      </c>
      <c r="AA1860" s="5">
        <v>899823.0</v>
      </c>
    </row>
    <row r="1861">
      <c r="Z1861" s="5">
        <v>1859.0</v>
      </c>
      <c r="AA1861" s="5">
        <v>899286.0</v>
      </c>
    </row>
    <row r="1862">
      <c r="Z1862" s="5">
        <v>1860.0</v>
      </c>
      <c r="AA1862" s="5">
        <v>898817.0</v>
      </c>
    </row>
    <row r="1863">
      <c r="Z1863" s="5">
        <v>1861.0</v>
      </c>
      <c r="AA1863" s="5">
        <v>897163.0</v>
      </c>
    </row>
    <row r="1864">
      <c r="Z1864" s="5">
        <v>1862.0</v>
      </c>
      <c r="AA1864" s="5">
        <v>896233.0</v>
      </c>
    </row>
    <row r="1865">
      <c r="Z1865" s="5">
        <v>1863.0</v>
      </c>
      <c r="AA1865" s="5">
        <v>895971.0</v>
      </c>
    </row>
    <row r="1866">
      <c r="Z1866" s="5">
        <v>1864.0</v>
      </c>
      <c r="AA1866" s="5">
        <v>895872.0</v>
      </c>
    </row>
    <row r="1867">
      <c r="Z1867" s="5">
        <v>1865.0</v>
      </c>
      <c r="AA1867" s="5">
        <v>895272.0</v>
      </c>
    </row>
    <row r="1868">
      <c r="Z1868" s="5">
        <v>1866.0</v>
      </c>
      <c r="AA1868" s="5">
        <v>893874.0</v>
      </c>
    </row>
    <row r="1869">
      <c r="Z1869" s="5">
        <v>1867.0</v>
      </c>
      <c r="AA1869" s="5">
        <v>893558.0</v>
      </c>
    </row>
    <row r="1870">
      <c r="Z1870" s="5">
        <v>1868.0</v>
      </c>
      <c r="AA1870" s="5">
        <v>891396.0</v>
      </c>
    </row>
    <row r="1871">
      <c r="Z1871" s="5">
        <v>1869.0</v>
      </c>
      <c r="AA1871" s="5">
        <v>890821.0</v>
      </c>
    </row>
    <row r="1872">
      <c r="Z1872" s="5">
        <v>1870.0</v>
      </c>
      <c r="AA1872" s="5">
        <v>889475.0</v>
      </c>
    </row>
    <row r="1873">
      <c r="Z1873" s="5">
        <v>1871.0</v>
      </c>
      <c r="AA1873" s="5">
        <v>889120.0</v>
      </c>
    </row>
    <row r="1874">
      <c r="Z1874" s="5">
        <v>1872.0</v>
      </c>
      <c r="AA1874" s="5">
        <v>888612.0</v>
      </c>
    </row>
    <row r="1875">
      <c r="Z1875" s="5">
        <v>1873.0</v>
      </c>
      <c r="AA1875" s="5">
        <v>888452.0</v>
      </c>
    </row>
    <row r="1876">
      <c r="Z1876" s="5">
        <v>1874.0</v>
      </c>
      <c r="AA1876" s="5">
        <v>888061.0</v>
      </c>
    </row>
    <row r="1877">
      <c r="Z1877" s="5">
        <v>1875.0</v>
      </c>
      <c r="AA1877" s="5">
        <v>887832.0</v>
      </c>
    </row>
    <row r="1878">
      <c r="Z1878" s="5">
        <v>1876.0</v>
      </c>
      <c r="AA1878" s="5">
        <v>887457.0</v>
      </c>
    </row>
    <row r="1879">
      <c r="Z1879" s="5">
        <v>1877.0</v>
      </c>
      <c r="AA1879" s="5">
        <v>886928.0</v>
      </c>
    </row>
    <row r="1880">
      <c r="Z1880" s="5">
        <v>1878.0</v>
      </c>
      <c r="AA1880" s="5">
        <v>885555.0</v>
      </c>
    </row>
    <row r="1881">
      <c r="Z1881" s="5">
        <v>1879.0</v>
      </c>
      <c r="AA1881" s="5">
        <v>884371.0</v>
      </c>
    </row>
    <row r="1882">
      <c r="Z1882" s="5">
        <v>1880.0</v>
      </c>
      <c r="AA1882" s="5">
        <v>884178.0</v>
      </c>
    </row>
    <row r="1883">
      <c r="Z1883" s="5">
        <v>1881.0</v>
      </c>
      <c r="AA1883" s="5">
        <v>883801.0</v>
      </c>
    </row>
    <row r="1884">
      <c r="Z1884" s="5">
        <v>1882.0</v>
      </c>
      <c r="AA1884" s="5">
        <v>882730.0</v>
      </c>
    </row>
    <row r="1885">
      <c r="Z1885" s="5">
        <v>1883.0</v>
      </c>
      <c r="AA1885" s="5">
        <v>882585.0</v>
      </c>
    </row>
    <row r="1886">
      <c r="Z1886" s="5">
        <v>1884.0</v>
      </c>
      <c r="AA1886" s="5">
        <v>878688.0</v>
      </c>
    </row>
    <row r="1887">
      <c r="Z1887" s="5">
        <v>1885.0</v>
      </c>
      <c r="AA1887" s="5">
        <v>874961.0</v>
      </c>
    </row>
    <row r="1888">
      <c r="Z1888" s="5">
        <v>1886.0</v>
      </c>
      <c r="AA1888" s="5">
        <v>874730.0</v>
      </c>
    </row>
    <row r="1889">
      <c r="Z1889" s="5">
        <v>1887.0</v>
      </c>
      <c r="AA1889" s="5">
        <v>873708.0</v>
      </c>
    </row>
    <row r="1890">
      <c r="Z1890" s="5">
        <v>1888.0</v>
      </c>
      <c r="AA1890" s="5">
        <v>872244.0</v>
      </c>
    </row>
    <row r="1891">
      <c r="Z1891" s="5">
        <v>1889.0</v>
      </c>
      <c r="AA1891" s="5">
        <v>871912.0</v>
      </c>
    </row>
    <row r="1892">
      <c r="Z1892" s="5">
        <v>1890.0</v>
      </c>
      <c r="AA1892" s="5">
        <v>870873.0</v>
      </c>
    </row>
    <row r="1893">
      <c r="Z1893" s="5">
        <v>1891.0</v>
      </c>
      <c r="AA1893" s="5">
        <v>870737.0</v>
      </c>
    </row>
    <row r="1894">
      <c r="Z1894" s="5">
        <v>1892.0</v>
      </c>
      <c r="AA1894" s="5">
        <v>869969.0</v>
      </c>
    </row>
    <row r="1895">
      <c r="Z1895" s="5">
        <v>1893.0</v>
      </c>
      <c r="AA1895" s="5">
        <v>869619.0</v>
      </c>
    </row>
    <row r="1896">
      <c r="Z1896" s="5">
        <v>1894.0</v>
      </c>
      <c r="AA1896" s="5">
        <v>868557.0</v>
      </c>
    </row>
    <row r="1897">
      <c r="Z1897" s="5">
        <v>1895.0</v>
      </c>
      <c r="AA1897" s="5">
        <v>864713.0</v>
      </c>
    </row>
    <row r="1898">
      <c r="Z1898" s="5">
        <v>1896.0</v>
      </c>
      <c r="AA1898" s="5">
        <v>864289.0</v>
      </c>
    </row>
    <row r="1899">
      <c r="Z1899" s="5">
        <v>1897.0</v>
      </c>
      <c r="AA1899" s="5">
        <v>864057.0</v>
      </c>
    </row>
    <row r="1900">
      <c r="Z1900" s="5">
        <v>1898.0</v>
      </c>
      <c r="AA1900" s="5">
        <v>861785.0</v>
      </c>
    </row>
    <row r="1901">
      <c r="Z1901" s="5">
        <v>1899.0</v>
      </c>
      <c r="AA1901" s="5">
        <v>860896.0</v>
      </c>
    </row>
    <row r="1902">
      <c r="Z1902" s="5">
        <v>1900.0</v>
      </c>
      <c r="AA1902" s="5">
        <v>860065.0</v>
      </c>
    </row>
    <row r="1903">
      <c r="Z1903" s="5">
        <v>1901.0</v>
      </c>
      <c r="AA1903" s="5">
        <v>860004.0</v>
      </c>
    </row>
    <row r="1904">
      <c r="Z1904" s="5">
        <v>1902.0</v>
      </c>
      <c r="AA1904" s="5">
        <v>857545.0</v>
      </c>
    </row>
    <row r="1905">
      <c r="Z1905" s="5">
        <v>1903.0</v>
      </c>
      <c r="AA1905" s="5">
        <v>856906.0</v>
      </c>
    </row>
    <row r="1906">
      <c r="Z1906" s="5">
        <v>1904.0</v>
      </c>
      <c r="AA1906" s="5">
        <v>852450.0</v>
      </c>
    </row>
    <row r="1907">
      <c r="Z1907" s="5">
        <v>1905.0</v>
      </c>
      <c r="AA1907" s="5">
        <v>851978.0</v>
      </c>
    </row>
    <row r="1908">
      <c r="Z1908" s="5">
        <v>1906.0</v>
      </c>
      <c r="AA1908" s="5">
        <v>851837.0</v>
      </c>
    </row>
    <row r="1909">
      <c r="Z1909" s="5">
        <v>1907.0</v>
      </c>
      <c r="AA1909" s="5">
        <v>849344.0</v>
      </c>
    </row>
    <row r="1910">
      <c r="Z1910" s="5">
        <v>1908.0</v>
      </c>
      <c r="AA1910" s="5">
        <v>848995.0</v>
      </c>
    </row>
    <row r="1911">
      <c r="Z1911" s="5">
        <v>1909.0</v>
      </c>
      <c r="AA1911" s="5">
        <v>848636.0</v>
      </c>
    </row>
    <row r="1912">
      <c r="Z1912" s="5">
        <v>1910.0</v>
      </c>
      <c r="AA1912" s="5">
        <v>846324.0</v>
      </c>
    </row>
    <row r="1913">
      <c r="Z1913" s="5">
        <v>1911.0</v>
      </c>
      <c r="AA1913" s="5">
        <v>845930.0</v>
      </c>
    </row>
    <row r="1914">
      <c r="Z1914" s="5">
        <v>1912.0</v>
      </c>
      <c r="AA1914" s="5">
        <v>845547.0</v>
      </c>
    </row>
    <row r="1915">
      <c r="Z1915" s="5">
        <v>1913.0</v>
      </c>
      <c r="AA1915" s="5">
        <v>845517.0</v>
      </c>
    </row>
    <row r="1916">
      <c r="Z1916" s="5">
        <v>1914.0</v>
      </c>
      <c r="AA1916" s="5">
        <v>844615.0</v>
      </c>
    </row>
    <row r="1917">
      <c r="Z1917" s="5">
        <v>1915.0</v>
      </c>
      <c r="AA1917" s="5">
        <v>842899.0</v>
      </c>
    </row>
    <row r="1918">
      <c r="Z1918" s="5">
        <v>1916.0</v>
      </c>
      <c r="AA1918" s="5">
        <v>842543.0</v>
      </c>
    </row>
    <row r="1919">
      <c r="Z1919" s="5">
        <v>1917.0</v>
      </c>
      <c r="AA1919" s="5">
        <v>842116.0</v>
      </c>
    </row>
    <row r="1920">
      <c r="Z1920" s="5">
        <v>1918.0</v>
      </c>
      <c r="AA1920" s="5">
        <v>841442.0</v>
      </c>
    </row>
    <row r="1921">
      <c r="Z1921" s="5">
        <v>1919.0</v>
      </c>
      <c r="AA1921" s="5">
        <v>839867.0</v>
      </c>
    </row>
    <row r="1922">
      <c r="Z1922" s="5">
        <v>1920.0</v>
      </c>
      <c r="AA1922" s="5">
        <v>839494.0</v>
      </c>
    </row>
    <row r="1923">
      <c r="Z1923" s="5">
        <v>1921.0</v>
      </c>
      <c r="AA1923" s="5">
        <v>839077.0</v>
      </c>
    </row>
    <row r="1924">
      <c r="Z1924" s="5">
        <v>1922.0</v>
      </c>
      <c r="AA1924" s="5">
        <v>837835.0</v>
      </c>
    </row>
    <row r="1925">
      <c r="Z1925" s="5">
        <v>1923.0</v>
      </c>
      <c r="AA1925" s="5">
        <v>835352.0</v>
      </c>
    </row>
    <row r="1926">
      <c r="Z1926" s="5">
        <v>1924.0</v>
      </c>
      <c r="AA1926" s="5">
        <v>835256.0</v>
      </c>
    </row>
    <row r="1927">
      <c r="Z1927" s="5">
        <v>1925.0</v>
      </c>
      <c r="AA1927" s="5">
        <v>834864.0</v>
      </c>
    </row>
    <row r="1928">
      <c r="Z1928" s="5">
        <v>1926.0</v>
      </c>
      <c r="AA1928" s="5">
        <v>832022.0</v>
      </c>
    </row>
    <row r="1929">
      <c r="Z1929" s="5">
        <v>1927.0</v>
      </c>
      <c r="AA1929" s="5">
        <v>830880.0</v>
      </c>
    </row>
    <row r="1930">
      <c r="Z1930" s="5">
        <v>1928.0</v>
      </c>
      <c r="AA1930" s="5">
        <v>830531.0</v>
      </c>
    </row>
    <row r="1931">
      <c r="Z1931" s="5">
        <v>1929.0</v>
      </c>
      <c r="AA1931" s="5">
        <v>829648.0</v>
      </c>
    </row>
    <row r="1932">
      <c r="Z1932" s="5">
        <v>1930.0</v>
      </c>
      <c r="AA1932" s="5">
        <v>828789.0</v>
      </c>
    </row>
    <row r="1933">
      <c r="Z1933" s="5">
        <v>1931.0</v>
      </c>
      <c r="AA1933" s="5">
        <v>828732.0</v>
      </c>
    </row>
    <row r="1934">
      <c r="Z1934" s="5">
        <v>1932.0</v>
      </c>
      <c r="AA1934" s="5">
        <v>823594.0</v>
      </c>
    </row>
    <row r="1935">
      <c r="Z1935" s="5">
        <v>1933.0</v>
      </c>
      <c r="AA1935" s="5">
        <v>823454.0</v>
      </c>
    </row>
    <row r="1936">
      <c r="Z1936" s="5">
        <v>1934.0</v>
      </c>
      <c r="AA1936" s="5">
        <v>822705.0</v>
      </c>
    </row>
    <row r="1937">
      <c r="Z1937" s="5">
        <v>1935.0</v>
      </c>
      <c r="AA1937" s="5">
        <v>822518.0</v>
      </c>
    </row>
    <row r="1938">
      <c r="Z1938" s="5">
        <v>1936.0</v>
      </c>
      <c r="AA1938" s="5">
        <v>822323.0</v>
      </c>
    </row>
    <row r="1939">
      <c r="Z1939" s="5">
        <v>1937.0</v>
      </c>
      <c r="AA1939" s="5">
        <v>821392.0</v>
      </c>
    </row>
    <row r="1940">
      <c r="Z1940" s="5">
        <v>1938.0</v>
      </c>
      <c r="AA1940" s="5">
        <v>821221.0</v>
      </c>
    </row>
    <row r="1941">
      <c r="Z1941" s="5">
        <v>1939.0</v>
      </c>
      <c r="AA1941" s="5">
        <v>820563.0</v>
      </c>
    </row>
    <row r="1942">
      <c r="Z1942" s="5">
        <v>1940.0</v>
      </c>
      <c r="AA1942" s="5">
        <v>819924.0</v>
      </c>
    </row>
    <row r="1943">
      <c r="Z1943" s="5">
        <v>1941.0</v>
      </c>
      <c r="AA1943" s="5">
        <v>816636.0</v>
      </c>
    </row>
    <row r="1944">
      <c r="Z1944" s="5">
        <v>1942.0</v>
      </c>
      <c r="AA1944" s="5">
        <v>813668.0</v>
      </c>
    </row>
    <row r="1945">
      <c r="Z1945" s="5">
        <v>1943.0</v>
      </c>
      <c r="AA1945" s="5">
        <v>812647.0</v>
      </c>
    </row>
    <row r="1946">
      <c r="Z1946" s="5">
        <v>1944.0</v>
      </c>
      <c r="AA1946" s="5">
        <v>810979.0</v>
      </c>
    </row>
    <row r="1947">
      <c r="Z1947" s="5">
        <v>1945.0</v>
      </c>
      <c r="AA1947" s="5">
        <v>808655.0</v>
      </c>
    </row>
    <row r="1948">
      <c r="Z1948" s="5">
        <v>1946.0</v>
      </c>
      <c r="AA1948" s="5">
        <v>807678.0</v>
      </c>
    </row>
    <row r="1949">
      <c r="Z1949" s="5">
        <v>1947.0</v>
      </c>
      <c r="AA1949" s="5">
        <v>807116.0</v>
      </c>
    </row>
    <row r="1950">
      <c r="Z1950" s="5">
        <v>1948.0</v>
      </c>
      <c r="AA1950" s="5">
        <v>806262.0</v>
      </c>
    </row>
    <row r="1951">
      <c r="Z1951" s="5">
        <v>1949.0</v>
      </c>
      <c r="AA1951" s="5">
        <v>806055.0</v>
      </c>
    </row>
    <row r="1952">
      <c r="Z1952" s="5">
        <v>1950.0</v>
      </c>
      <c r="AA1952" s="5">
        <v>805998.0</v>
      </c>
    </row>
    <row r="1953">
      <c r="Z1953" s="5">
        <v>1951.0</v>
      </c>
      <c r="AA1953" s="5">
        <v>801999.0</v>
      </c>
    </row>
    <row r="1954">
      <c r="Z1954" s="5">
        <v>1952.0</v>
      </c>
      <c r="AA1954" s="5">
        <v>800969.0</v>
      </c>
    </row>
    <row r="1955">
      <c r="Z1955" s="5">
        <v>1953.0</v>
      </c>
      <c r="AA1955" s="5">
        <v>800549.0</v>
      </c>
    </row>
    <row r="1956">
      <c r="Z1956" s="5">
        <v>1954.0</v>
      </c>
      <c r="AA1956" s="5">
        <v>800458.0</v>
      </c>
    </row>
    <row r="1957">
      <c r="Z1957" s="5">
        <v>1955.0</v>
      </c>
      <c r="AA1957" s="5">
        <v>800409.0</v>
      </c>
    </row>
    <row r="1958">
      <c r="Z1958" s="5">
        <v>1956.0</v>
      </c>
      <c r="AA1958" s="5">
        <v>800340.0</v>
      </c>
    </row>
    <row r="1959">
      <c r="Z1959" s="5">
        <v>1957.0</v>
      </c>
      <c r="AA1959" s="5">
        <v>800054.0</v>
      </c>
    </row>
    <row r="1960">
      <c r="Z1960" s="5">
        <v>1958.0</v>
      </c>
      <c r="AA1960" s="5">
        <v>799891.0</v>
      </c>
    </row>
    <row r="1961">
      <c r="Z1961" s="5">
        <v>1959.0</v>
      </c>
      <c r="AA1961" s="5">
        <v>799057.0</v>
      </c>
    </row>
    <row r="1962">
      <c r="Z1962" s="5">
        <v>1960.0</v>
      </c>
      <c r="AA1962" s="5">
        <v>798883.0</v>
      </c>
    </row>
    <row r="1963">
      <c r="Z1963" s="5">
        <v>1961.0</v>
      </c>
      <c r="AA1963" s="5">
        <v>798462.0</v>
      </c>
    </row>
    <row r="1964">
      <c r="Z1964" s="5">
        <v>1962.0</v>
      </c>
      <c r="AA1964" s="5">
        <v>797615.0</v>
      </c>
    </row>
    <row r="1965">
      <c r="Z1965" s="5">
        <v>1963.0</v>
      </c>
      <c r="AA1965" s="5">
        <v>796741.0</v>
      </c>
    </row>
    <row r="1966">
      <c r="Z1966" s="5">
        <v>1964.0</v>
      </c>
      <c r="AA1966" s="5">
        <v>796211.0</v>
      </c>
    </row>
    <row r="1967">
      <c r="Z1967" s="5">
        <v>1965.0</v>
      </c>
      <c r="AA1967" s="5">
        <v>795647.0</v>
      </c>
    </row>
    <row r="1968">
      <c r="Z1968" s="5">
        <v>1966.0</v>
      </c>
      <c r="AA1968" s="5">
        <v>795595.0</v>
      </c>
    </row>
    <row r="1969">
      <c r="Z1969" s="5">
        <v>1967.0</v>
      </c>
      <c r="AA1969" s="5">
        <v>795368.0</v>
      </c>
    </row>
    <row r="1970">
      <c r="Z1970" s="5">
        <v>1968.0</v>
      </c>
      <c r="AA1970" s="5">
        <v>793405.0</v>
      </c>
    </row>
    <row r="1971">
      <c r="Z1971" s="5">
        <v>1969.0</v>
      </c>
      <c r="AA1971" s="5">
        <v>793356.0</v>
      </c>
    </row>
    <row r="1972">
      <c r="Z1972" s="5">
        <v>1970.0</v>
      </c>
      <c r="AA1972" s="5">
        <v>793229.0</v>
      </c>
    </row>
    <row r="1973">
      <c r="Z1973" s="5">
        <v>1971.0</v>
      </c>
      <c r="AA1973" s="5">
        <v>792306.0</v>
      </c>
    </row>
    <row r="1974">
      <c r="Z1974" s="5">
        <v>1972.0</v>
      </c>
      <c r="AA1974" s="5">
        <v>791689.0</v>
      </c>
    </row>
    <row r="1975">
      <c r="Z1975" s="5">
        <v>1973.0</v>
      </c>
      <c r="AA1975" s="5">
        <v>791366.0</v>
      </c>
    </row>
    <row r="1976">
      <c r="Z1976" s="5">
        <v>1974.0</v>
      </c>
      <c r="AA1976" s="5">
        <v>791334.0</v>
      </c>
    </row>
    <row r="1977">
      <c r="Z1977" s="5">
        <v>1975.0</v>
      </c>
      <c r="AA1977" s="5">
        <v>791071.0</v>
      </c>
    </row>
    <row r="1978">
      <c r="Z1978" s="5">
        <v>1976.0</v>
      </c>
      <c r="AA1978" s="5">
        <v>791069.0</v>
      </c>
    </row>
    <row r="1979">
      <c r="Z1979" s="5">
        <v>1977.0</v>
      </c>
      <c r="AA1979" s="5">
        <v>788880.0</v>
      </c>
    </row>
    <row r="1980">
      <c r="Z1980" s="5">
        <v>1978.0</v>
      </c>
      <c r="AA1980" s="5">
        <v>788504.0</v>
      </c>
    </row>
    <row r="1981">
      <c r="Z1981" s="5">
        <v>1979.0</v>
      </c>
      <c r="AA1981" s="5">
        <v>787612.0</v>
      </c>
    </row>
    <row r="1982">
      <c r="Z1982" s="5">
        <v>1980.0</v>
      </c>
      <c r="AA1982" s="5">
        <v>787267.0</v>
      </c>
    </row>
    <row r="1983">
      <c r="Z1983" s="5">
        <v>1981.0</v>
      </c>
      <c r="AA1983" s="5">
        <v>786076.0</v>
      </c>
    </row>
    <row r="1984">
      <c r="Z1984" s="5">
        <v>1982.0</v>
      </c>
      <c r="AA1984" s="5">
        <v>785743.0</v>
      </c>
    </row>
    <row r="1985">
      <c r="Z1985" s="5">
        <v>1983.0</v>
      </c>
      <c r="AA1985" s="5">
        <v>785600.0</v>
      </c>
    </row>
    <row r="1986">
      <c r="Z1986" s="5">
        <v>1984.0</v>
      </c>
      <c r="AA1986" s="5">
        <v>784697.0</v>
      </c>
    </row>
    <row r="1987">
      <c r="Z1987" s="5">
        <v>1985.0</v>
      </c>
      <c r="AA1987" s="5">
        <v>782672.0</v>
      </c>
    </row>
    <row r="1988">
      <c r="Z1988" s="5">
        <v>1986.0</v>
      </c>
      <c r="AA1988" s="5">
        <v>782669.0</v>
      </c>
    </row>
    <row r="1989">
      <c r="Z1989" s="5">
        <v>1987.0</v>
      </c>
      <c r="AA1989" s="5">
        <v>782422.0</v>
      </c>
    </row>
    <row r="1990">
      <c r="Z1990" s="5">
        <v>1988.0</v>
      </c>
      <c r="AA1990" s="5">
        <v>782231.0</v>
      </c>
    </row>
    <row r="1991">
      <c r="Z1991" s="5">
        <v>1989.0</v>
      </c>
      <c r="AA1991" s="5">
        <v>781069.0</v>
      </c>
    </row>
    <row r="1992">
      <c r="Z1992" s="5">
        <v>1990.0</v>
      </c>
      <c r="AA1992" s="5">
        <v>780918.0</v>
      </c>
    </row>
    <row r="1993">
      <c r="Z1993" s="5">
        <v>1991.0</v>
      </c>
      <c r="AA1993" s="5">
        <v>780618.0</v>
      </c>
    </row>
    <row r="1994">
      <c r="Z1994" s="5">
        <v>1992.0</v>
      </c>
      <c r="AA1994" s="5">
        <v>779941.0</v>
      </c>
    </row>
    <row r="1995">
      <c r="Z1995" s="5">
        <v>1993.0</v>
      </c>
      <c r="AA1995" s="5">
        <v>779129.0</v>
      </c>
    </row>
    <row r="1996">
      <c r="Z1996" s="5">
        <v>1994.0</v>
      </c>
      <c r="AA1996" s="5">
        <v>778684.0</v>
      </c>
    </row>
    <row r="1997">
      <c r="Z1997" s="5">
        <v>1995.0</v>
      </c>
      <c r="AA1997" s="5">
        <v>778684.0</v>
      </c>
    </row>
    <row r="1998">
      <c r="Z1998" s="5">
        <v>1996.0</v>
      </c>
      <c r="AA1998" s="5">
        <v>777203.0</v>
      </c>
    </row>
    <row r="1999">
      <c r="Z1999" s="5">
        <v>1997.0</v>
      </c>
      <c r="AA1999" s="5">
        <v>777203.0</v>
      </c>
    </row>
    <row r="2000">
      <c r="Z2000" s="5">
        <v>1998.0</v>
      </c>
      <c r="AA2000" s="5">
        <v>777203.0</v>
      </c>
    </row>
    <row r="2001">
      <c r="Z2001" s="5">
        <v>1999.0</v>
      </c>
      <c r="AA2001" s="5">
        <v>777203.0</v>
      </c>
    </row>
    <row r="2002">
      <c r="Z2002" s="5">
        <v>2000.0</v>
      </c>
      <c r="AA2002" s="5">
        <v>777203.0</v>
      </c>
    </row>
    <row r="2003">
      <c r="Z2003" s="5">
        <v>2001.0</v>
      </c>
      <c r="AA2003" s="5">
        <v>776904.0</v>
      </c>
    </row>
    <row r="2004">
      <c r="Z2004" s="5">
        <v>2002.0</v>
      </c>
      <c r="AA2004" s="5">
        <v>775819.0</v>
      </c>
    </row>
    <row r="2005">
      <c r="Z2005" s="5">
        <v>2003.0</v>
      </c>
      <c r="AA2005" s="5">
        <v>775477.0</v>
      </c>
    </row>
    <row r="2006">
      <c r="Z2006" s="5">
        <v>2004.0</v>
      </c>
      <c r="AA2006" s="5">
        <v>774545.0</v>
      </c>
    </row>
    <row r="2007">
      <c r="Z2007" s="5">
        <v>2005.0</v>
      </c>
      <c r="AA2007" s="5">
        <v>773869.0</v>
      </c>
    </row>
    <row r="2008">
      <c r="Z2008" s="5">
        <v>2006.0</v>
      </c>
      <c r="AA2008" s="5">
        <v>773246.0</v>
      </c>
    </row>
    <row r="2009">
      <c r="Z2009" s="5">
        <v>2007.0</v>
      </c>
      <c r="AA2009" s="5">
        <v>772750.0</v>
      </c>
    </row>
    <row r="2010">
      <c r="Z2010" s="5">
        <v>2008.0</v>
      </c>
      <c r="AA2010" s="5">
        <v>772412.0</v>
      </c>
    </row>
    <row r="2011">
      <c r="Z2011" s="5">
        <v>2009.0</v>
      </c>
      <c r="AA2011" s="5">
        <v>769545.0</v>
      </c>
    </row>
    <row r="2012">
      <c r="Z2012" s="5">
        <v>2010.0</v>
      </c>
      <c r="AA2012" s="5">
        <v>768739.0</v>
      </c>
    </row>
    <row r="2013">
      <c r="Z2013" s="5">
        <v>2011.0</v>
      </c>
      <c r="AA2013" s="5">
        <v>767811.0</v>
      </c>
    </row>
    <row r="2014">
      <c r="Z2014" s="5">
        <v>2012.0</v>
      </c>
      <c r="AA2014" s="5">
        <v>767811.0</v>
      </c>
    </row>
    <row r="2015">
      <c r="Z2015" s="5">
        <v>2013.0</v>
      </c>
      <c r="AA2015" s="5">
        <v>767811.0</v>
      </c>
    </row>
    <row r="2016">
      <c r="Z2016" s="5">
        <v>2014.0</v>
      </c>
      <c r="AA2016" s="5">
        <v>766572.0</v>
      </c>
    </row>
    <row r="2017">
      <c r="Z2017" s="5">
        <v>2015.0</v>
      </c>
      <c r="AA2017" s="5">
        <v>766065.0</v>
      </c>
    </row>
    <row r="2018">
      <c r="Z2018" s="5">
        <v>2016.0</v>
      </c>
      <c r="AA2018" s="5">
        <v>765064.0</v>
      </c>
    </row>
    <row r="2019">
      <c r="Z2019" s="5">
        <v>2017.0</v>
      </c>
      <c r="AA2019" s="5">
        <v>764566.0</v>
      </c>
    </row>
    <row r="2020">
      <c r="Z2020" s="5">
        <v>2018.0</v>
      </c>
      <c r="AA2020" s="5">
        <v>764566.0</v>
      </c>
    </row>
    <row r="2021">
      <c r="Z2021" s="5">
        <v>2019.0</v>
      </c>
      <c r="AA2021" s="5">
        <v>762200.0</v>
      </c>
    </row>
    <row r="2022">
      <c r="Z2022" s="5">
        <v>2020.0</v>
      </c>
      <c r="AA2022" s="5">
        <v>760338.0</v>
      </c>
    </row>
    <row r="2023">
      <c r="Z2023" s="5">
        <v>2021.0</v>
      </c>
      <c r="AA2023" s="5">
        <v>756654.0</v>
      </c>
    </row>
    <row r="2024">
      <c r="Z2024" s="5">
        <v>2022.0</v>
      </c>
      <c r="AA2024" s="5">
        <v>756487.0</v>
      </c>
    </row>
    <row r="2025">
      <c r="Z2025" s="5">
        <v>2023.0</v>
      </c>
      <c r="AA2025" s="5">
        <v>755879.0</v>
      </c>
    </row>
    <row r="2026">
      <c r="Z2026" s="5">
        <v>2024.0</v>
      </c>
      <c r="AA2026" s="5">
        <v>754815.0</v>
      </c>
    </row>
    <row r="2027">
      <c r="Z2027" s="5">
        <v>2025.0</v>
      </c>
      <c r="AA2027" s="5">
        <v>752929.0</v>
      </c>
    </row>
    <row r="2028">
      <c r="Z2028" s="5">
        <v>2026.0</v>
      </c>
      <c r="AA2028" s="5">
        <v>751692.0</v>
      </c>
    </row>
    <row r="2029">
      <c r="Z2029" s="5">
        <v>2027.0</v>
      </c>
      <c r="AA2029" s="5">
        <v>750992.0</v>
      </c>
    </row>
    <row r="2030">
      <c r="Z2030" s="5">
        <v>2028.0</v>
      </c>
      <c r="AA2030" s="5">
        <v>747421.0</v>
      </c>
    </row>
    <row r="2031">
      <c r="Z2031" s="5">
        <v>2029.0</v>
      </c>
      <c r="AA2031" s="5">
        <v>744656.0</v>
      </c>
    </row>
    <row r="2032">
      <c r="Z2032" s="5">
        <v>2030.0</v>
      </c>
      <c r="AA2032" s="5">
        <v>734865.0</v>
      </c>
    </row>
    <row r="2033">
      <c r="Z2033" s="5">
        <v>2031.0</v>
      </c>
      <c r="AA2033" s="5">
        <v>734016.0</v>
      </c>
    </row>
    <row r="2034">
      <c r="Z2034" s="5">
        <v>2032.0</v>
      </c>
      <c r="AA2034" s="5">
        <v>734016.0</v>
      </c>
    </row>
    <row r="2035">
      <c r="Z2035" s="5">
        <v>2033.0</v>
      </c>
      <c r="AA2035" s="5">
        <v>734016.0</v>
      </c>
    </row>
    <row r="2036">
      <c r="Z2036" s="5">
        <v>2034.0</v>
      </c>
      <c r="AA2036" s="5">
        <v>734016.0</v>
      </c>
    </row>
    <row r="2037">
      <c r="Z2037" s="5">
        <v>2035.0</v>
      </c>
      <c r="AA2037" s="5">
        <v>734016.0</v>
      </c>
    </row>
    <row r="2038">
      <c r="Z2038" s="5">
        <v>2036.0</v>
      </c>
      <c r="AA2038" s="5">
        <v>734002.0</v>
      </c>
    </row>
    <row r="2039">
      <c r="Z2039" s="5">
        <v>2037.0</v>
      </c>
      <c r="AA2039" s="5">
        <v>731826.0</v>
      </c>
    </row>
    <row r="2040">
      <c r="Z2040" s="5">
        <v>2038.0</v>
      </c>
      <c r="AA2040" s="5">
        <v>730253.0</v>
      </c>
    </row>
    <row r="2041">
      <c r="Z2041" s="5">
        <v>2039.0</v>
      </c>
      <c r="AA2041" s="5">
        <v>729953.0</v>
      </c>
    </row>
    <row r="2042">
      <c r="Z2042" s="5">
        <v>2040.0</v>
      </c>
      <c r="AA2042" s="5">
        <v>729645.0</v>
      </c>
    </row>
    <row r="2043">
      <c r="Z2043" s="5">
        <v>2041.0</v>
      </c>
      <c r="AA2043" s="5">
        <v>729028.0</v>
      </c>
    </row>
    <row r="2044">
      <c r="Z2044" s="5">
        <v>2042.0</v>
      </c>
      <c r="AA2044" s="5">
        <v>728294.0</v>
      </c>
    </row>
    <row r="2045">
      <c r="Z2045" s="5">
        <v>2043.0</v>
      </c>
      <c r="AA2045" s="5">
        <v>727940.0</v>
      </c>
    </row>
    <row r="2046">
      <c r="Z2046" s="5">
        <v>2044.0</v>
      </c>
      <c r="AA2046" s="5">
        <v>726447.0</v>
      </c>
    </row>
    <row r="2047">
      <c r="Z2047" s="5">
        <v>2045.0</v>
      </c>
      <c r="AA2047" s="5">
        <v>725555.0</v>
      </c>
    </row>
    <row r="2048">
      <c r="Z2048" s="5">
        <v>2046.0</v>
      </c>
      <c r="AA2048" s="5">
        <v>723999.0</v>
      </c>
    </row>
    <row r="2049">
      <c r="Z2049" s="5">
        <v>2047.0</v>
      </c>
      <c r="AA2049" s="5">
        <v>723155.0</v>
      </c>
    </row>
    <row r="2050">
      <c r="Z2050" s="5">
        <v>2048.0</v>
      </c>
      <c r="AA2050" s="5">
        <v>723140.0</v>
      </c>
    </row>
    <row r="2051">
      <c r="Z2051" s="5">
        <v>2049.0</v>
      </c>
      <c r="AA2051" s="5">
        <v>721445.0</v>
      </c>
    </row>
    <row r="2052">
      <c r="Z2052" s="5">
        <v>2050.0</v>
      </c>
      <c r="AA2052" s="5">
        <v>721348.0</v>
      </c>
    </row>
    <row r="2053">
      <c r="Z2053" s="5">
        <v>2051.0</v>
      </c>
      <c r="AA2053" s="5">
        <v>720518.0</v>
      </c>
    </row>
    <row r="2054">
      <c r="Z2054" s="5">
        <v>2052.0</v>
      </c>
      <c r="AA2054" s="5">
        <v>720084.0</v>
      </c>
    </row>
    <row r="2055">
      <c r="Z2055" s="5">
        <v>2053.0</v>
      </c>
      <c r="AA2055" s="5">
        <v>719711.0</v>
      </c>
    </row>
    <row r="2056">
      <c r="Z2056" s="5">
        <v>2054.0</v>
      </c>
      <c r="AA2056" s="5">
        <v>717854.0</v>
      </c>
    </row>
    <row r="2057">
      <c r="Z2057" s="5">
        <v>2055.0</v>
      </c>
      <c r="AA2057" s="5">
        <v>717230.0</v>
      </c>
    </row>
    <row r="2058">
      <c r="Z2058" s="5">
        <v>2056.0</v>
      </c>
      <c r="AA2058" s="5">
        <v>717161.0</v>
      </c>
    </row>
    <row r="2059">
      <c r="Z2059" s="5">
        <v>2057.0</v>
      </c>
      <c r="AA2059" s="5">
        <v>713803.0</v>
      </c>
    </row>
    <row r="2060">
      <c r="Z2060" s="5">
        <v>2058.0</v>
      </c>
      <c r="AA2060" s="5">
        <v>713443.0</v>
      </c>
    </row>
    <row r="2061">
      <c r="Z2061" s="5">
        <v>2059.0</v>
      </c>
      <c r="AA2061" s="5">
        <v>713214.0</v>
      </c>
    </row>
    <row r="2062">
      <c r="Z2062" s="5">
        <v>2060.0</v>
      </c>
      <c r="AA2062" s="5">
        <v>708051.0</v>
      </c>
    </row>
    <row r="2063">
      <c r="Z2063" s="5">
        <v>2061.0</v>
      </c>
      <c r="AA2063" s="5">
        <v>704484.0</v>
      </c>
    </row>
    <row r="2064">
      <c r="Z2064" s="5">
        <v>2062.0</v>
      </c>
      <c r="AA2064" s="5">
        <v>704134.0</v>
      </c>
    </row>
    <row r="2065">
      <c r="Z2065" s="5">
        <v>2063.0</v>
      </c>
      <c r="AA2065" s="5">
        <v>701938.0</v>
      </c>
    </row>
    <row r="2066">
      <c r="Z2066" s="5">
        <v>2064.0</v>
      </c>
      <c r="AA2066" s="5">
        <v>699437.0</v>
      </c>
    </row>
    <row r="2067">
      <c r="Z2067" s="5">
        <v>2065.0</v>
      </c>
      <c r="AA2067" s="5">
        <v>698201.0</v>
      </c>
    </row>
    <row r="2068">
      <c r="Z2068" s="5">
        <v>2066.0</v>
      </c>
      <c r="AA2068" s="5">
        <v>695813.0</v>
      </c>
    </row>
    <row r="2069">
      <c r="Z2069" s="5">
        <v>2067.0</v>
      </c>
      <c r="AA2069" s="5">
        <v>694940.0</v>
      </c>
    </row>
    <row r="2070">
      <c r="Z2070" s="5">
        <v>2068.0</v>
      </c>
      <c r="AA2070" s="5">
        <v>694297.0</v>
      </c>
    </row>
    <row r="2071">
      <c r="Z2071" s="5">
        <v>2069.0</v>
      </c>
      <c r="AA2071" s="5">
        <v>692995.0</v>
      </c>
    </row>
    <row r="2072">
      <c r="Z2072" s="5">
        <v>2070.0</v>
      </c>
      <c r="AA2072" s="5">
        <v>688837.0</v>
      </c>
    </row>
    <row r="2073">
      <c r="Z2073" s="5">
        <v>2071.0</v>
      </c>
      <c r="AA2073" s="5">
        <v>683035.0</v>
      </c>
    </row>
    <row r="2074">
      <c r="Z2074" s="5">
        <v>2072.0</v>
      </c>
      <c r="AA2074" s="5">
        <v>681622.0</v>
      </c>
    </row>
    <row r="2075">
      <c r="Z2075" s="5">
        <v>2073.0</v>
      </c>
      <c r="AA2075" s="5">
        <v>678136.0</v>
      </c>
    </row>
    <row r="2076">
      <c r="Z2076" s="5">
        <v>2074.0</v>
      </c>
      <c r="AA2076" s="5">
        <v>671606.0</v>
      </c>
    </row>
    <row r="2077">
      <c r="Z2077" s="5">
        <v>2075.0</v>
      </c>
      <c r="AA2077" s="5">
        <v>670616.0</v>
      </c>
    </row>
    <row r="2078">
      <c r="Z2078" s="5">
        <v>2076.0</v>
      </c>
      <c r="AA2078" s="5">
        <v>669846.0</v>
      </c>
    </row>
    <row r="2079">
      <c r="Z2079" s="5">
        <v>2077.0</v>
      </c>
      <c r="AA2079" s="5">
        <v>669112.0</v>
      </c>
    </row>
    <row r="2080">
      <c r="Z2080" s="5">
        <v>2078.0</v>
      </c>
      <c r="AA2080" s="5">
        <v>667532.0</v>
      </c>
    </row>
    <row r="2081">
      <c r="Z2081" s="5">
        <v>2079.0</v>
      </c>
      <c r="AA2081" s="5">
        <v>667043.0</v>
      </c>
    </row>
    <row r="2082">
      <c r="Z2082" s="5">
        <v>2080.0</v>
      </c>
      <c r="AA2082" s="5">
        <v>666893.0</v>
      </c>
    </row>
    <row r="2083">
      <c r="Z2083" s="5">
        <v>2081.0</v>
      </c>
      <c r="AA2083" s="5">
        <v>666788.0</v>
      </c>
    </row>
    <row r="2084">
      <c r="Z2084" s="5">
        <v>2082.0</v>
      </c>
      <c r="AA2084" s="5">
        <v>666670.0</v>
      </c>
    </row>
    <row r="2085">
      <c r="Z2085" s="5">
        <v>2083.0</v>
      </c>
      <c r="AA2085" s="5">
        <v>666185.0</v>
      </c>
    </row>
    <row r="2086">
      <c r="Z2086" s="5">
        <v>2084.0</v>
      </c>
      <c r="AA2086" s="5">
        <v>665815.0</v>
      </c>
    </row>
    <row r="2087">
      <c r="Z2087" s="5">
        <v>2085.0</v>
      </c>
      <c r="AA2087" s="5">
        <v>661838.0</v>
      </c>
    </row>
    <row r="2088">
      <c r="Z2088" s="5">
        <v>2086.0</v>
      </c>
      <c r="AA2088" s="5">
        <v>659968.0</v>
      </c>
    </row>
    <row r="2089">
      <c r="Z2089" s="5">
        <v>2087.0</v>
      </c>
      <c r="AA2089" s="5">
        <v>659874.0</v>
      </c>
    </row>
    <row r="2090">
      <c r="Z2090" s="5">
        <v>2088.0</v>
      </c>
      <c r="AA2090" s="5">
        <v>658840.0</v>
      </c>
    </row>
    <row r="2091">
      <c r="Z2091" s="5">
        <v>2089.0</v>
      </c>
      <c r="AA2091" s="5">
        <v>657097.0</v>
      </c>
    </row>
    <row r="2092">
      <c r="Z2092" s="5">
        <v>2090.0</v>
      </c>
      <c r="AA2092" s="5">
        <v>655473.0</v>
      </c>
    </row>
    <row r="2093">
      <c r="Z2093" s="5">
        <v>2091.0</v>
      </c>
      <c r="AA2093" s="5">
        <v>653622.0</v>
      </c>
    </row>
    <row r="2094">
      <c r="Z2094" s="5">
        <v>2092.0</v>
      </c>
      <c r="AA2094" s="5">
        <v>649994.0</v>
      </c>
    </row>
    <row r="2095">
      <c r="Z2095" s="5">
        <v>2093.0</v>
      </c>
      <c r="AA2095" s="5">
        <v>649158.0</v>
      </c>
    </row>
    <row r="2096">
      <c r="Z2096" s="5">
        <v>2094.0</v>
      </c>
      <c r="AA2096" s="5">
        <v>644384.0</v>
      </c>
    </row>
    <row r="2097">
      <c r="Z2097" s="5">
        <v>2095.0</v>
      </c>
      <c r="AA2097" s="5">
        <v>641954.0</v>
      </c>
    </row>
    <row r="2098">
      <c r="Z2098" s="5">
        <v>2096.0</v>
      </c>
      <c r="AA2098" s="5">
        <v>640590.0</v>
      </c>
    </row>
    <row r="2099">
      <c r="Z2099" s="5">
        <v>2097.0</v>
      </c>
      <c r="AA2099" s="5">
        <v>640395.0</v>
      </c>
    </row>
    <row r="2100">
      <c r="Z2100" s="5">
        <v>2098.0</v>
      </c>
      <c r="AA2100" s="5">
        <v>635472.0</v>
      </c>
    </row>
    <row r="2101">
      <c r="Z2101" s="5">
        <v>2099.0</v>
      </c>
      <c r="AA2101" s="5">
        <v>635116.0</v>
      </c>
    </row>
    <row r="2102">
      <c r="Z2102" s="5">
        <v>2100.0</v>
      </c>
      <c r="AA2102" s="5">
        <v>634723.0</v>
      </c>
    </row>
    <row r="2103">
      <c r="Z2103" s="5">
        <v>2101.0</v>
      </c>
      <c r="AA2103" s="5">
        <v>633266.0</v>
      </c>
    </row>
    <row r="2104">
      <c r="Z2104" s="5">
        <v>2102.0</v>
      </c>
      <c r="AA2104" s="5">
        <v>631263.0</v>
      </c>
    </row>
    <row r="2105">
      <c r="Z2105" s="5">
        <v>2103.0</v>
      </c>
      <c r="AA2105" s="5">
        <v>630231.0</v>
      </c>
    </row>
    <row r="2106">
      <c r="Z2106" s="5">
        <v>2104.0</v>
      </c>
      <c r="AA2106" s="5">
        <v>629234.0</v>
      </c>
    </row>
    <row r="2107">
      <c r="Z2107" s="5">
        <v>2105.0</v>
      </c>
      <c r="AA2107" s="5">
        <v>627429.0</v>
      </c>
    </row>
    <row r="2108">
      <c r="Z2108" s="5">
        <v>2106.0</v>
      </c>
      <c r="AA2108" s="5">
        <v>626450.0</v>
      </c>
    </row>
    <row r="2109">
      <c r="Z2109" s="5">
        <v>2107.0</v>
      </c>
      <c r="AA2109" s="5">
        <v>624195.0</v>
      </c>
    </row>
    <row r="2110">
      <c r="Z2110" s="5">
        <v>2108.0</v>
      </c>
      <c r="AA2110" s="5">
        <v>622785.0</v>
      </c>
    </row>
    <row r="2111">
      <c r="Z2111" s="5">
        <v>2109.0</v>
      </c>
      <c r="AA2111" s="5">
        <v>621109.0</v>
      </c>
    </row>
    <row r="2112">
      <c r="Z2112" s="5">
        <v>2110.0</v>
      </c>
      <c r="AA2112" s="5">
        <v>620609.0</v>
      </c>
    </row>
    <row r="2113">
      <c r="Z2113" s="5">
        <v>2111.0</v>
      </c>
      <c r="AA2113" s="5">
        <v>614799.0</v>
      </c>
    </row>
    <row r="2114">
      <c r="Z2114" s="5">
        <v>2112.0</v>
      </c>
      <c r="AA2114" s="5">
        <v>611618.0</v>
      </c>
    </row>
    <row r="2115">
      <c r="Z2115" s="5">
        <v>2113.0</v>
      </c>
      <c r="AA2115" s="5">
        <v>611596.0</v>
      </c>
    </row>
    <row r="2116">
      <c r="Z2116" s="5">
        <v>2114.0</v>
      </c>
      <c r="AA2116" s="5">
        <v>609423.0</v>
      </c>
    </row>
    <row r="2117">
      <c r="Z2117" s="5">
        <v>2115.0</v>
      </c>
      <c r="AA2117" s="5">
        <v>609259.0</v>
      </c>
    </row>
    <row r="2118">
      <c r="Z2118" s="5">
        <v>2116.0</v>
      </c>
      <c r="AA2118" s="5">
        <v>609132.0</v>
      </c>
    </row>
    <row r="2119">
      <c r="Z2119" s="5">
        <v>2117.0</v>
      </c>
      <c r="AA2119" s="5">
        <v>608736.0</v>
      </c>
    </row>
    <row r="2120">
      <c r="Z2120" s="5">
        <v>2118.0</v>
      </c>
      <c r="AA2120" s="5">
        <v>607260.0</v>
      </c>
    </row>
    <row r="2121">
      <c r="Z2121" s="5">
        <v>2119.0</v>
      </c>
      <c r="AA2121" s="5">
        <v>603889.0</v>
      </c>
    </row>
    <row r="2122">
      <c r="Z2122" s="5">
        <v>2120.0</v>
      </c>
      <c r="AA2122" s="5">
        <v>600159.0</v>
      </c>
    </row>
    <row r="2123">
      <c r="Z2123" s="5">
        <v>2121.0</v>
      </c>
      <c r="AA2123" s="5">
        <v>597280.0</v>
      </c>
    </row>
    <row r="2124">
      <c r="Z2124" s="5">
        <v>2122.0</v>
      </c>
      <c r="AA2124" s="5">
        <v>596539.0</v>
      </c>
    </row>
    <row r="2125">
      <c r="Z2125" s="5">
        <v>2123.0</v>
      </c>
      <c r="AA2125" s="5">
        <v>594910.0</v>
      </c>
    </row>
    <row r="2126">
      <c r="Z2126" s="5">
        <v>2124.0</v>
      </c>
      <c r="AA2126" s="5">
        <v>594101.0</v>
      </c>
    </row>
    <row r="2127">
      <c r="Z2127" s="5">
        <v>2125.0</v>
      </c>
      <c r="AA2127" s="5">
        <v>590842.0</v>
      </c>
    </row>
    <row r="2128">
      <c r="Z2128" s="5">
        <v>2126.0</v>
      </c>
      <c r="AA2128" s="5">
        <v>588037.0</v>
      </c>
    </row>
    <row r="2129">
      <c r="Z2129" s="5">
        <v>2127.0</v>
      </c>
      <c r="AA2129" s="5">
        <v>587884.0</v>
      </c>
    </row>
    <row r="2130">
      <c r="Z2130" s="5">
        <v>2128.0</v>
      </c>
      <c r="AA2130" s="5">
        <v>586305.0</v>
      </c>
    </row>
    <row r="2131">
      <c r="Z2131" s="5">
        <v>2129.0</v>
      </c>
      <c r="AA2131" s="5">
        <v>584786.0</v>
      </c>
    </row>
    <row r="2132">
      <c r="Z2132" s="5">
        <v>2130.0</v>
      </c>
      <c r="AA2132" s="5">
        <v>584201.0</v>
      </c>
    </row>
    <row r="2133">
      <c r="Z2133" s="5">
        <v>2131.0</v>
      </c>
      <c r="AA2133" s="5">
        <v>583812.0</v>
      </c>
    </row>
    <row r="2134">
      <c r="Z2134" s="5">
        <v>2132.0</v>
      </c>
      <c r="AA2134" s="5">
        <v>581000.0</v>
      </c>
    </row>
    <row r="2135">
      <c r="Z2135" s="5">
        <v>2133.0</v>
      </c>
      <c r="AA2135" s="5">
        <v>580892.0</v>
      </c>
    </row>
    <row r="2136">
      <c r="Z2136" s="5">
        <v>2134.0</v>
      </c>
      <c r="AA2136" s="5">
        <v>578753.0</v>
      </c>
    </row>
    <row r="2137">
      <c r="Z2137" s="5">
        <v>2135.0</v>
      </c>
      <c r="AA2137" s="5">
        <v>578630.0</v>
      </c>
    </row>
    <row r="2138">
      <c r="Z2138" s="5">
        <v>2136.0</v>
      </c>
      <c r="AA2138" s="5">
        <v>577993.0</v>
      </c>
    </row>
    <row r="2139">
      <c r="Z2139" s="5">
        <v>2137.0</v>
      </c>
      <c r="AA2139" s="5">
        <v>576660.0</v>
      </c>
    </row>
    <row r="2140">
      <c r="Z2140" s="5">
        <v>2138.0</v>
      </c>
      <c r="AA2140" s="5">
        <v>576387.0</v>
      </c>
    </row>
    <row r="2141">
      <c r="Z2141" s="5">
        <v>2139.0</v>
      </c>
      <c r="AA2141" s="5">
        <v>576238.0</v>
      </c>
    </row>
    <row r="2142">
      <c r="Z2142" s="5">
        <v>2140.0</v>
      </c>
      <c r="AA2142" s="5">
        <v>575661.0</v>
      </c>
    </row>
    <row r="2143">
      <c r="Z2143" s="5">
        <v>2141.0</v>
      </c>
      <c r="AA2143" s="5">
        <v>573706.0</v>
      </c>
    </row>
    <row r="2144">
      <c r="Z2144" s="5">
        <v>2142.0</v>
      </c>
      <c r="AA2144" s="5">
        <v>572787.0</v>
      </c>
    </row>
    <row r="2145">
      <c r="Z2145" s="5">
        <v>2143.0</v>
      </c>
      <c r="AA2145" s="5">
        <v>569647.0</v>
      </c>
    </row>
    <row r="2146">
      <c r="Z2146" s="5">
        <v>2144.0</v>
      </c>
      <c r="AA2146" s="5">
        <v>569021.0</v>
      </c>
    </row>
    <row r="2147">
      <c r="Z2147" s="5">
        <v>2145.0</v>
      </c>
      <c r="AA2147" s="5">
        <v>568716.0</v>
      </c>
    </row>
    <row r="2148">
      <c r="Z2148" s="5">
        <v>2146.0</v>
      </c>
      <c r="AA2148" s="5">
        <v>567721.0</v>
      </c>
    </row>
    <row r="2149">
      <c r="Z2149" s="5">
        <v>2147.0</v>
      </c>
      <c r="AA2149" s="5">
        <v>566202.0</v>
      </c>
    </row>
    <row r="2150">
      <c r="Z2150" s="5">
        <v>2148.0</v>
      </c>
      <c r="AA2150" s="5">
        <v>565884.0</v>
      </c>
    </row>
    <row r="2151">
      <c r="Z2151" s="5">
        <v>2149.0</v>
      </c>
      <c r="AA2151" s="5">
        <v>564651.0</v>
      </c>
    </row>
    <row r="2152">
      <c r="Z2152" s="5">
        <v>2150.0</v>
      </c>
      <c r="AA2152" s="5">
        <v>560892.0</v>
      </c>
    </row>
    <row r="2153">
      <c r="Z2153" s="5">
        <v>2151.0</v>
      </c>
      <c r="AA2153" s="5">
        <v>559858.0</v>
      </c>
    </row>
    <row r="2154">
      <c r="Z2154" s="5">
        <v>2152.0</v>
      </c>
      <c r="AA2154" s="5">
        <v>557707.0</v>
      </c>
    </row>
    <row r="2155">
      <c r="Z2155" s="5">
        <v>2153.0</v>
      </c>
      <c r="AA2155" s="5">
        <v>555548.0</v>
      </c>
    </row>
    <row r="2156">
      <c r="Z2156" s="5">
        <v>2154.0</v>
      </c>
      <c r="AA2156" s="5">
        <v>554897.0</v>
      </c>
    </row>
    <row r="2157">
      <c r="Z2157" s="5">
        <v>2155.0</v>
      </c>
      <c r="AA2157" s="5">
        <v>554263.0</v>
      </c>
    </row>
    <row r="2158">
      <c r="Z2158" s="5">
        <v>2156.0</v>
      </c>
      <c r="AA2158" s="5">
        <v>550946.0</v>
      </c>
    </row>
    <row r="2159">
      <c r="Z2159" s="5">
        <v>2157.0</v>
      </c>
      <c r="AA2159" s="5">
        <v>547887.0</v>
      </c>
    </row>
    <row r="2160">
      <c r="Z2160" s="5">
        <v>2158.0</v>
      </c>
      <c r="AA2160" s="5">
        <v>547491.0</v>
      </c>
    </row>
    <row r="2161">
      <c r="Z2161" s="5">
        <v>2159.0</v>
      </c>
      <c r="AA2161" s="5">
        <v>546618.0</v>
      </c>
    </row>
    <row r="2162">
      <c r="Z2162" s="5">
        <v>2160.0</v>
      </c>
      <c r="AA2162" s="5">
        <v>545711.0</v>
      </c>
    </row>
    <row r="2163">
      <c r="Z2163" s="5">
        <v>2161.0</v>
      </c>
      <c r="AA2163" s="5">
        <v>544779.0</v>
      </c>
    </row>
    <row r="2164">
      <c r="Z2164" s="5">
        <v>2162.0</v>
      </c>
      <c r="AA2164" s="5">
        <v>543815.0</v>
      </c>
    </row>
    <row r="2165">
      <c r="Z2165" s="5">
        <v>2163.0</v>
      </c>
      <c r="AA2165" s="5">
        <v>540653.0</v>
      </c>
    </row>
    <row r="2166">
      <c r="Z2166" s="5">
        <v>2164.0</v>
      </c>
      <c r="AA2166" s="5">
        <v>539507.0</v>
      </c>
    </row>
    <row r="2167">
      <c r="Z2167" s="5">
        <v>2165.0</v>
      </c>
      <c r="AA2167" s="5">
        <v>538659.0</v>
      </c>
    </row>
    <row r="2168">
      <c r="Z2168" s="5">
        <v>2166.0</v>
      </c>
      <c r="AA2168" s="5">
        <v>534393.0</v>
      </c>
    </row>
    <row r="2169">
      <c r="Z2169" s="5">
        <v>2167.0</v>
      </c>
      <c r="AA2169" s="5">
        <v>534124.0</v>
      </c>
    </row>
    <row r="2170">
      <c r="Z2170" s="5">
        <v>2168.0</v>
      </c>
      <c r="AA2170" s="5">
        <v>532176.0</v>
      </c>
    </row>
    <row r="2171">
      <c r="Z2171" s="5">
        <v>2169.0</v>
      </c>
      <c r="AA2171" s="5">
        <v>530067.0</v>
      </c>
    </row>
    <row r="2172">
      <c r="Z2172" s="5">
        <v>2170.0</v>
      </c>
      <c r="AA2172" s="5">
        <v>529292.0</v>
      </c>
    </row>
    <row r="2173">
      <c r="Z2173" s="5">
        <v>2171.0</v>
      </c>
      <c r="AA2173" s="5">
        <v>526628.0</v>
      </c>
    </row>
    <row r="2174">
      <c r="Z2174" s="5">
        <v>2172.0</v>
      </c>
      <c r="AA2174" s="5">
        <v>526148.0</v>
      </c>
    </row>
    <row r="2175">
      <c r="Z2175" s="5">
        <v>2173.0</v>
      </c>
      <c r="AA2175" s="5">
        <v>524012.0</v>
      </c>
    </row>
    <row r="2176">
      <c r="Z2176" s="5">
        <v>2174.0</v>
      </c>
      <c r="AA2176" s="5">
        <v>522247.0</v>
      </c>
    </row>
    <row r="2177">
      <c r="Z2177" s="5">
        <v>2175.0</v>
      </c>
      <c r="AA2177" s="5">
        <v>519987.0</v>
      </c>
    </row>
    <row r="2178">
      <c r="Z2178" s="5">
        <v>2176.0</v>
      </c>
      <c r="AA2178" s="5">
        <v>519828.0</v>
      </c>
    </row>
    <row r="2179">
      <c r="Z2179" s="5">
        <v>2177.0</v>
      </c>
      <c r="AA2179" s="5">
        <v>518187.0</v>
      </c>
    </row>
    <row r="2180">
      <c r="Z2180" s="5">
        <v>2178.0</v>
      </c>
      <c r="AA2180" s="5">
        <v>516441.0</v>
      </c>
    </row>
    <row r="2181">
      <c r="Z2181" s="5">
        <v>2179.0</v>
      </c>
      <c r="AA2181" s="5">
        <v>516069.0</v>
      </c>
    </row>
    <row r="2182">
      <c r="Z2182" s="5">
        <v>2180.0</v>
      </c>
      <c r="AA2182" s="5">
        <v>513791.0</v>
      </c>
    </row>
    <row r="2183">
      <c r="Z2183" s="5">
        <v>2181.0</v>
      </c>
      <c r="AA2183" s="5">
        <v>510728.0</v>
      </c>
    </row>
    <row r="2184">
      <c r="Z2184" s="5">
        <v>2182.0</v>
      </c>
      <c r="AA2184" s="5">
        <v>508488.0</v>
      </c>
    </row>
    <row r="2185">
      <c r="Z2185" s="5">
        <v>2183.0</v>
      </c>
      <c r="AA2185" s="5">
        <v>506360.0</v>
      </c>
    </row>
    <row r="2186">
      <c r="Z2186" s="5">
        <v>2184.0</v>
      </c>
      <c r="AA2186" s="5">
        <v>506213.0</v>
      </c>
    </row>
    <row r="2187">
      <c r="Z2187" s="5">
        <v>2185.0</v>
      </c>
      <c r="AA2187" s="5">
        <v>504445.0</v>
      </c>
    </row>
    <row r="2188">
      <c r="Z2188" s="5">
        <v>2186.0</v>
      </c>
      <c r="AA2188" s="5">
        <v>504341.0</v>
      </c>
    </row>
    <row r="2189">
      <c r="Z2189" s="5">
        <v>2187.0</v>
      </c>
      <c r="AA2189" s="5">
        <v>504283.0</v>
      </c>
    </row>
    <row r="2190">
      <c r="Z2190" s="5">
        <v>2188.0</v>
      </c>
      <c r="AA2190" s="5">
        <v>500792.0</v>
      </c>
    </row>
    <row r="2191">
      <c r="Z2191" s="5">
        <v>2189.0</v>
      </c>
      <c r="AA2191" s="5">
        <v>500470.0</v>
      </c>
    </row>
    <row r="2192">
      <c r="Z2192" s="5">
        <v>2190.0</v>
      </c>
      <c r="AA2192" s="5">
        <v>500106.0</v>
      </c>
    </row>
    <row r="2193">
      <c r="Z2193" s="5">
        <v>2191.0</v>
      </c>
      <c r="AA2193" s="5">
        <v>498909.0</v>
      </c>
    </row>
    <row r="2194">
      <c r="Z2194" s="5">
        <v>2192.0</v>
      </c>
      <c r="AA2194" s="5">
        <v>498298.0</v>
      </c>
    </row>
    <row r="2195">
      <c r="Z2195" s="5">
        <v>2193.0</v>
      </c>
      <c r="AA2195" s="5">
        <v>497428.0</v>
      </c>
    </row>
    <row r="2196">
      <c r="Z2196" s="5">
        <v>2194.0</v>
      </c>
      <c r="AA2196" s="5">
        <v>497265.0</v>
      </c>
    </row>
    <row r="2197">
      <c r="Z2197" s="5">
        <v>2195.0</v>
      </c>
      <c r="AA2197" s="5">
        <v>496526.0</v>
      </c>
    </row>
    <row r="2198">
      <c r="Z2198" s="5">
        <v>2196.0</v>
      </c>
      <c r="AA2198" s="5">
        <v>495818.0</v>
      </c>
    </row>
    <row r="2199">
      <c r="Z2199" s="5">
        <v>2197.0</v>
      </c>
      <c r="AA2199" s="5">
        <v>495691.0</v>
      </c>
    </row>
    <row r="2200">
      <c r="Z2200" s="5">
        <v>2198.0</v>
      </c>
      <c r="AA2200" s="5">
        <v>494826.0</v>
      </c>
    </row>
    <row r="2201">
      <c r="Z2201" s="5">
        <v>2199.0</v>
      </c>
      <c r="AA2201" s="5">
        <v>494284.0</v>
      </c>
    </row>
    <row r="2202">
      <c r="Z2202" s="5">
        <v>2200.0</v>
      </c>
      <c r="AA2202" s="5">
        <v>493594.0</v>
      </c>
    </row>
    <row r="2203">
      <c r="Z2203" s="5">
        <v>2201.0</v>
      </c>
      <c r="AA2203" s="5">
        <v>493486.0</v>
      </c>
    </row>
    <row r="2204">
      <c r="Z2204" s="5">
        <v>2202.0</v>
      </c>
      <c r="AA2204" s="5">
        <v>489696.0</v>
      </c>
    </row>
    <row r="2205">
      <c r="Z2205" s="5">
        <v>2203.0</v>
      </c>
      <c r="AA2205" s="5">
        <v>489283.0</v>
      </c>
    </row>
    <row r="2206">
      <c r="Z2206" s="5">
        <v>2204.0</v>
      </c>
      <c r="AA2206" s="5">
        <v>488966.0</v>
      </c>
    </row>
    <row r="2207">
      <c r="Z2207" s="5">
        <v>2205.0</v>
      </c>
      <c r="AA2207" s="5">
        <v>488758.0</v>
      </c>
    </row>
    <row r="2208">
      <c r="Z2208" s="5">
        <v>2206.0</v>
      </c>
      <c r="AA2208" s="5">
        <v>487693.0</v>
      </c>
    </row>
    <row r="2209">
      <c r="Z2209" s="5">
        <v>2207.0</v>
      </c>
      <c r="AA2209" s="5">
        <v>484977.0</v>
      </c>
    </row>
    <row r="2210">
      <c r="Z2210" s="5">
        <v>2208.0</v>
      </c>
      <c r="AA2210" s="5">
        <v>484297.0</v>
      </c>
    </row>
    <row r="2211">
      <c r="Z2211" s="5">
        <v>2209.0</v>
      </c>
      <c r="AA2211" s="5">
        <v>483998.0</v>
      </c>
    </row>
    <row r="2212">
      <c r="Z2212" s="5">
        <v>2210.0</v>
      </c>
      <c r="AA2212" s="5">
        <v>483424.0</v>
      </c>
    </row>
    <row r="2213">
      <c r="Z2213" s="5">
        <v>2211.0</v>
      </c>
      <c r="AA2213" s="5">
        <v>478550.0</v>
      </c>
    </row>
    <row r="2214">
      <c r="Z2214" s="5">
        <v>2212.0</v>
      </c>
      <c r="AA2214" s="5">
        <v>477975.0</v>
      </c>
    </row>
    <row r="2215">
      <c r="Z2215" s="5">
        <v>2213.0</v>
      </c>
      <c r="AA2215" s="5">
        <v>477317.0</v>
      </c>
    </row>
    <row r="2216">
      <c r="Z2216" s="5">
        <v>2214.0</v>
      </c>
      <c r="AA2216" s="5">
        <v>475743.0</v>
      </c>
    </row>
    <row r="2217">
      <c r="Z2217" s="5">
        <v>2215.0</v>
      </c>
      <c r="AA2217" s="5">
        <v>475000.0</v>
      </c>
    </row>
    <row r="2218">
      <c r="Z2218" s="5">
        <v>2216.0</v>
      </c>
      <c r="AA2218" s="5">
        <v>470738.0</v>
      </c>
    </row>
    <row r="2219">
      <c r="Z2219" s="5">
        <v>2217.0</v>
      </c>
      <c r="AA2219" s="5">
        <v>470695.0</v>
      </c>
    </row>
    <row r="2220">
      <c r="Z2220" s="5">
        <v>2218.0</v>
      </c>
      <c r="AA2220" s="5">
        <v>470352.0</v>
      </c>
    </row>
    <row r="2221">
      <c r="Z2221" s="5">
        <v>2219.0</v>
      </c>
      <c r="AA2221" s="5">
        <v>469437.0</v>
      </c>
    </row>
    <row r="2222">
      <c r="Z2222" s="5">
        <v>2220.0</v>
      </c>
      <c r="AA2222" s="5">
        <v>468882.0</v>
      </c>
    </row>
    <row r="2223">
      <c r="Z2223" s="5">
        <v>2221.0</v>
      </c>
      <c r="AA2223" s="5">
        <v>468538.0</v>
      </c>
    </row>
    <row r="2224">
      <c r="Z2224" s="5">
        <v>2222.0</v>
      </c>
      <c r="AA2224" s="5">
        <v>468410.0</v>
      </c>
    </row>
    <row r="2225">
      <c r="Z2225" s="5">
        <v>2223.0</v>
      </c>
      <c r="AA2225" s="5">
        <v>468295.0</v>
      </c>
    </row>
    <row r="2226">
      <c r="Z2226" s="5">
        <v>2224.0</v>
      </c>
      <c r="AA2226" s="5">
        <v>467405.0</v>
      </c>
    </row>
    <row r="2227">
      <c r="Z2227" s="5">
        <v>2225.0</v>
      </c>
      <c r="AA2227" s="5">
        <v>466845.0</v>
      </c>
    </row>
    <row r="2228">
      <c r="Z2228" s="5">
        <v>2226.0</v>
      </c>
      <c r="AA2228" s="5">
        <v>466232.0</v>
      </c>
    </row>
    <row r="2229">
      <c r="Z2229" s="5">
        <v>2227.0</v>
      </c>
      <c r="AA2229" s="5">
        <v>464931.0</v>
      </c>
    </row>
    <row r="2230">
      <c r="Z2230" s="5">
        <v>2228.0</v>
      </c>
      <c r="AA2230" s="5">
        <v>464129.0</v>
      </c>
    </row>
    <row r="2231">
      <c r="Z2231" s="5">
        <v>2229.0</v>
      </c>
      <c r="AA2231" s="5">
        <v>464056.0</v>
      </c>
    </row>
    <row r="2232">
      <c r="Z2232" s="5">
        <v>2230.0</v>
      </c>
      <c r="AA2232" s="5">
        <v>463254.0</v>
      </c>
    </row>
    <row r="2233">
      <c r="Z2233" s="5">
        <v>2231.0</v>
      </c>
      <c r="AA2233" s="5">
        <v>460709.0</v>
      </c>
    </row>
    <row r="2234">
      <c r="Z2234" s="5">
        <v>2232.0</v>
      </c>
      <c r="AA2234" s="5">
        <v>458922.0</v>
      </c>
    </row>
    <row r="2235">
      <c r="Z2235" s="5">
        <v>2233.0</v>
      </c>
      <c r="AA2235" s="5">
        <v>457752.0</v>
      </c>
    </row>
    <row r="2236">
      <c r="Z2236" s="5">
        <v>2234.0</v>
      </c>
      <c r="AA2236" s="5">
        <v>456920.0</v>
      </c>
    </row>
    <row r="2237">
      <c r="Z2237" s="5">
        <v>2235.0</v>
      </c>
      <c r="AA2237" s="5">
        <v>455245.0</v>
      </c>
    </row>
    <row r="2238">
      <c r="Z2238" s="5">
        <v>2236.0</v>
      </c>
      <c r="AA2238" s="5">
        <v>455131.0</v>
      </c>
    </row>
    <row r="2239">
      <c r="Z2239" s="5">
        <v>2237.0</v>
      </c>
      <c r="AA2239" s="5">
        <v>455083.0</v>
      </c>
    </row>
    <row r="2240">
      <c r="Z2240" s="5">
        <v>2238.0</v>
      </c>
      <c r="AA2240" s="5">
        <v>453682.0</v>
      </c>
    </row>
    <row r="2241">
      <c r="Z2241" s="5">
        <v>2239.0</v>
      </c>
      <c r="AA2241" s="5">
        <v>453323.0</v>
      </c>
    </row>
    <row r="2242">
      <c r="Z2242" s="5">
        <v>2240.0</v>
      </c>
      <c r="AA2242" s="5">
        <v>451132.0</v>
      </c>
    </row>
    <row r="2243">
      <c r="Z2243" s="5">
        <v>2241.0</v>
      </c>
      <c r="AA2243" s="5">
        <v>450752.0</v>
      </c>
    </row>
    <row r="2244">
      <c r="Z2244" s="5">
        <v>2242.0</v>
      </c>
      <c r="AA2244" s="5">
        <v>448089.0</v>
      </c>
    </row>
    <row r="2245">
      <c r="Z2245" s="5">
        <v>2243.0</v>
      </c>
      <c r="AA2245" s="5">
        <v>447319.0</v>
      </c>
    </row>
    <row r="2246">
      <c r="Z2246" s="5">
        <v>2244.0</v>
      </c>
      <c r="AA2246" s="5">
        <v>446983.0</v>
      </c>
    </row>
    <row r="2247">
      <c r="Z2247" s="5">
        <v>2245.0</v>
      </c>
      <c r="AA2247" s="5">
        <v>446430.0</v>
      </c>
    </row>
    <row r="2248">
      <c r="Z2248" s="5">
        <v>2246.0</v>
      </c>
      <c r="AA2248" s="5">
        <v>444801.0</v>
      </c>
    </row>
    <row r="2249">
      <c r="Z2249" s="5">
        <v>2247.0</v>
      </c>
      <c r="AA2249" s="5">
        <v>443641.0</v>
      </c>
    </row>
    <row r="2250">
      <c r="Z2250" s="5">
        <v>2248.0</v>
      </c>
      <c r="AA2250" s="5">
        <v>443187.0</v>
      </c>
    </row>
    <row r="2251">
      <c r="Z2251" s="5">
        <v>2249.0</v>
      </c>
      <c r="AA2251" s="5">
        <v>441321.0</v>
      </c>
    </row>
    <row r="2252">
      <c r="Z2252" s="5">
        <v>2250.0</v>
      </c>
      <c r="AA2252" s="5">
        <v>440339.0</v>
      </c>
    </row>
    <row r="2253">
      <c r="Z2253" s="5">
        <v>2251.0</v>
      </c>
      <c r="AA2253" s="5">
        <v>438856.0</v>
      </c>
    </row>
    <row r="2254">
      <c r="Z2254" s="5">
        <v>2252.0</v>
      </c>
      <c r="AA2254" s="5">
        <v>434518.0</v>
      </c>
    </row>
    <row r="2255">
      <c r="Z2255" s="5">
        <v>2253.0</v>
      </c>
      <c r="AA2255" s="5">
        <v>434147.0</v>
      </c>
    </row>
    <row r="2256">
      <c r="Z2256" s="5">
        <v>2254.0</v>
      </c>
      <c r="AA2256" s="5">
        <v>430136.0</v>
      </c>
    </row>
    <row r="2257">
      <c r="Z2257" s="5">
        <v>2255.0</v>
      </c>
      <c r="AA2257" s="5">
        <v>429043.0</v>
      </c>
    </row>
    <row r="2258">
      <c r="Z2258" s="5">
        <v>2256.0</v>
      </c>
      <c r="AA2258" s="5">
        <v>428329.0</v>
      </c>
    </row>
    <row r="2259">
      <c r="Z2259" s="5">
        <v>2257.0</v>
      </c>
      <c r="AA2259" s="5">
        <v>428136.0</v>
      </c>
    </row>
    <row r="2260">
      <c r="Z2260" s="5">
        <v>2258.0</v>
      </c>
      <c r="AA2260" s="5">
        <v>427392.0</v>
      </c>
    </row>
    <row r="2261">
      <c r="Z2261" s="5">
        <v>2259.0</v>
      </c>
      <c r="AA2261" s="5">
        <v>425674.0</v>
      </c>
    </row>
    <row r="2262">
      <c r="Z2262" s="5">
        <v>2260.0</v>
      </c>
      <c r="AA2262" s="5">
        <v>424732.0</v>
      </c>
    </row>
    <row r="2263">
      <c r="Z2263" s="5">
        <v>2261.0</v>
      </c>
      <c r="AA2263" s="5">
        <v>424629.0</v>
      </c>
    </row>
    <row r="2264">
      <c r="Z2264" s="5">
        <v>2262.0</v>
      </c>
      <c r="AA2264" s="5">
        <v>424449.0</v>
      </c>
    </row>
    <row r="2265">
      <c r="Z2265" s="5">
        <v>2263.0</v>
      </c>
      <c r="AA2265" s="5">
        <v>424115.0</v>
      </c>
    </row>
    <row r="2266">
      <c r="Z2266" s="5">
        <v>2264.0</v>
      </c>
      <c r="AA2266" s="5">
        <v>423980.0</v>
      </c>
    </row>
    <row r="2267">
      <c r="Z2267" s="5">
        <v>2265.0</v>
      </c>
      <c r="AA2267" s="5">
        <v>423455.0</v>
      </c>
    </row>
    <row r="2268">
      <c r="Z2268" s="5">
        <v>2266.0</v>
      </c>
      <c r="AA2268" s="5">
        <v>423394.0</v>
      </c>
    </row>
    <row r="2269">
      <c r="Z2269" s="5">
        <v>2267.0</v>
      </c>
      <c r="AA2269" s="5">
        <v>423380.0</v>
      </c>
    </row>
    <row r="2270">
      <c r="Z2270" s="5">
        <v>2268.0</v>
      </c>
      <c r="AA2270" s="5">
        <v>423003.0</v>
      </c>
    </row>
    <row r="2271">
      <c r="Z2271" s="5">
        <v>2269.0</v>
      </c>
      <c r="AA2271" s="5">
        <v>421743.0</v>
      </c>
    </row>
    <row r="2272">
      <c r="Z2272" s="5">
        <v>2270.0</v>
      </c>
      <c r="AA2272" s="5">
        <v>421680.0</v>
      </c>
    </row>
    <row r="2273">
      <c r="Z2273" s="5">
        <v>2271.0</v>
      </c>
      <c r="AA2273" s="5">
        <v>421020.0</v>
      </c>
    </row>
    <row r="2274">
      <c r="Z2274" s="5">
        <v>2272.0</v>
      </c>
      <c r="AA2274" s="5">
        <v>420284.0</v>
      </c>
    </row>
    <row r="2275">
      <c r="Z2275" s="5">
        <v>2273.0</v>
      </c>
      <c r="AA2275" s="5">
        <v>420095.0</v>
      </c>
    </row>
    <row r="2276">
      <c r="Z2276" s="5">
        <v>2274.0</v>
      </c>
      <c r="AA2276" s="5">
        <v>418451.0</v>
      </c>
    </row>
    <row r="2277">
      <c r="Z2277" s="5">
        <v>2275.0</v>
      </c>
      <c r="AA2277" s="5">
        <v>418451.0</v>
      </c>
    </row>
    <row r="2278">
      <c r="Z2278" s="5">
        <v>2276.0</v>
      </c>
      <c r="AA2278" s="5">
        <v>418366.0</v>
      </c>
    </row>
    <row r="2279">
      <c r="Z2279" s="5">
        <v>2277.0</v>
      </c>
      <c r="AA2279" s="5">
        <v>417963.0</v>
      </c>
    </row>
    <row r="2280">
      <c r="Z2280" s="5">
        <v>2278.0</v>
      </c>
      <c r="AA2280" s="5">
        <v>417602.0</v>
      </c>
    </row>
    <row r="2281">
      <c r="Z2281" s="5">
        <v>2279.0</v>
      </c>
      <c r="AA2281" s="5">
        <v>416896.0</v>
      </c>
    </row>
    <row r="2282">
      <c r="Z2282" s="5">
        <v>2280.0</v>
      </c>
      <c r="AA2282" s="5">
        <v>415504.0</v>
      </c>
    </row>
    <row r="2283">
      <c r="Z2283" s="5">
        <v>2281.0</v>
      </c>
      <c r="AA2283" s="5">
        <v>415059.0</v>
      </c>
    </row>
    <row r="2284">
      <c r="Z2284" s="5">
        <v>2282.0</v>
      </c>
      <c r="AA2284" s="5">
        <v>414475.0</v>
      </c>
    </row>
    <row r="2285">
      <c r="Z2285" s="5">
        <v>2283.0</v>
      </c>
      <c r="AA2285" s="5">
        <v>414342.0</v>
      </c>
    </row>
    <row r="2286">
      <c r="Z2286" s="5">
        <v>2284.0</v>
      </c>
      <c r="AA2286" s="5">
        <v>414173.0</v>
      </c>
    </row>
    <row r="2287">
      <c r="Z2287" s="5">
        <v>2285.0</v>
      </c>
      <c r="AA2287" s="5">
        <v>413385.0</v>
      </c>
    </row>
    <row r="2288">
      <c r="Z2288" s="5">
        <v>2286.0</v>
      </c>
      <c r="AA2288" s="5">
        <v>412765.0</v>
      </c>
    </row>
    <row r="2289">
      <c r="Z2289" s="5">
        <v>2287.0</v>
      </c>
      <c r="AA2289" s="5">
        <v>412646.0</v>
      </c>
    </row>
    <row r="2290">
      <c r="Z2290" s="5">
        <v>2288.0</v>
      </c>
      <c r="AA2290" s="5">
        <v>412538.0</v>
      </c>
    </row>
    <row r="2291">
      <c r="Z2291" s="5">
        <v>2289.0</v>
      </c>
      <c r="AA2291" s="5">
        <v>412183.0</v>
      </c>
    </row>
    <row r="2292">
      <c r="Z2292" s="5">
        <v>2290.0</v>
      </c>
      <c r="AA2292" s="5">
        <v>411775.0</v>
      </c>
    </row>
    <row r="2293">
      <c r="Z2293" s="5">
        <v>2291.0</v>
      </c>
      <c r="AA2293" s="5">
        <v>411647.0</v>
      </c>
    </row>
    <row r="2294">
      <c r="Z2294" s="5">
        <v>2292.0</v>
      </c>
      <c r="AA2294" s="5">
        <v>410631.0</v>
      </c>
    </row>
    <row r="2295">
      <c r="Z2295" s="5">
        <v>2293.0</v>
      </c>
      <c r="AA2295" s="5">
        <v>409462.0</v>
      </c>
    </row>
    <row r="2296">
      <c r="Z2296" s="5">
        <v>2294.0</v>
      </c>
      <c r="AA2296" s="5">
        <v>407650.0</v>
      </c>
    </row>
    <row r="2297">
      <c r="Z2297" s="5">
        <v>2295.0</v>
      </c>
      <c r="AA2297" s="5">
        <v>406167.0</v>
      </c>
    </row>
    <row r="2298">
      <c r="Z2298" s="5">
        <v>2296.0</v>
      </c>
      <c r="AA2298" s="5">
        <v>405416.0</v>
      </c>
    </row>
    <row r="2299">
      <c r="Z2299" s="5">
        <v>2297.0</v>
      </c>
      <c r="AA2299" s="5">
        <v>404918.0</v>
      </c>
    </row>
    <row r="2300">
      <c r="Z2300" s="5">
        <v>2298.0</v>
      </c>
      <c r="AA2300" s="5">
        <v>402359.0</v>
      </c>
    </row>
    <row r="2301">
      <c r="Z2301" s="5">
        <v>2299.0</v>
      </c>
      <c r="AA2301" s="5">
        <v>401580.0</v>
      </c>
    </row>
    <row r="2302">
      <c r="Z2302" s="5">
        <v>2300.0</v>
      </c>
      <c r="AA2302" s="5">
        <v>400342.0</v>
      </c>
    </row>
    <row r="2303">
      <c r="Z2303" s="5">
        <v>2301.0</v>
      </c>
      <c r="AA2303" s="5">
        <v>400021.0</v>
      </c>
    </row>
    <row r="2304">
      <c r="Z2304" s="5">
        <v>2302.0</v>
      </c>
      <c r="AA2304" s="5">
        <v>399692.0</v>
      </c>
    </row>
    <row r="2305">
      <c r="Z2305" s="5">
        <v>2303.0</v>
      </c>
      <c r="AA2305" s="5">
        <v>399385.0</v>
      </c>
    </row>
    <row r="2306">
      <c r="Z2306" s="5">
        <v>2304.0</v>
      </c>
      <c r="AA2306" s="5">
        <v>399247.0</v>
      </c>
    </row>
    <row r="2307">
      <c r="Z2307" s="5">
        <v>2305.0</v>
      </c>
      <c r="AA2307" s="5">
        <v>398622.0</v>
      </c>
    </row>
    <row r="2308">
      <c r="Z2308" s="5">
        <v>2306.0</v>
      </c>
      <c r="AA2308" s="5">
        <v>397249.0</v>
      </c>
    </row>
    <row r="2309">
      <c r="Z2309" s="5">
        <v>2307.0</v>
      </c>
      <c r="AA2309" s="5">
        <v>396711.0</v>
      </c>
    </row>
    <row r="2310">
      <c r="Z2310" s="5">
        <v>2308.0</v>
      </c>
      <c r="AA2310" s="5">
        <v>394718.0</v>
      </c>
    </row>
    <row r="2311">
      <c r="Z2311" s="5">
        <v>2309.0</v>
      </c>
      <c r="AA2311" s="5">
        <v>392306.0</v>
      </c>
    </row>
    <row r="2312">
      <c r="Z2312" s="5">
        <v>2310.0</v>
      </c>
      <c r="AA2312" s="5">
        <v>388937.0</v>
      </c>
    </row>
    <row r="2313">
      <c r="Z2313" s="5">
        <v>2311.0</v>
      </c>
      <c r="AA2313" s="5">
        <v>388374.0</v>
      </c>
    </row>
    <row r="2314">
      <c r="Z2314" s="5">
        <v>2312.0</v>
      </c>
      <c r="AA2314" s="5">
        <v>388374.0</v>
      </c>
    </row>
    <row r="2315">
      <c r="Z2315" s="5">
        <v>2313.0</v>
      </c>
      <c r="AA2315" s="5">
        <v>384989.0</v>
      </c>
    </row>
    <row r="2316">
      <c r="Z2316" s="5">
        <v>2314.0</v>
      </c>
      <c r="AA2316" s="5">
        <v>383776.0</v>
      </c>
    </row>
    <row r="2317">
      <c r="Z2317" s="5">
        <v>2315.0</v>
      </c>
      <c r="AA2317" s="5">
        <v>382266.0</v>
      </c>
    </row>
    <row r="2318">
      <c r="Z2318" s="5">
        <v>2316.0</v>
      </c>
      <c r="AA2318" s="5">
        <v>382043.0</v>
      </c>
    </row>
    <row r="2319">
      <c r="Z2319" s="5">
        <v>2317.0</v>
      </c>
      <c r="AA2319" s="5">
        <v>381844.0</v>
      </c>
    </row>
    <row r="2320">
      <c r="Z2320" s="5">
        <v>2318.0</v>
      </c>
      <c r="AA2320" s="5">
        <v>381106.0</v>
      </c>
    </row>
    <row r="2321">
      <c r="Z2321" s="5">
        <v>2319.0</v>
      </c>
      <c r="AA2321" s="5">
        <v>381106.0</v>
      </c>
    </row>
    <row r="2322">
      <c r="Z2322" s="5">
        <v>2320.0</v>
      </c>
      <c r="AA2322" s="5">
        <v>380933.0</v>
      </c>
    </row>
    <row r="2323">
      <c r="Z2323" s="5">
        <v>2321.0</v>
      </c>
      <c r="AA2323" s="5">
        <v>380809.0</v>
      </c>
    </row>
    <row r="2324">
      <c r="Z2324" s="5">
        <v>2322.0</v>
      </c>
      <c r="AA2324" s="5">
        <v>379960.0</v>
      </c>
    </row>
    <row r="2325">
      <c r="Z2325" s="5">
        <v>2323.0</v>
      </c>
      <c r="AA2325" s="5">
        <v>378007.0</v>
      </c>
    </row>
    <row r="2326">
      <c r="Z2326" s="5">
        <v>2324.0</v>
      </c>
      <c r="AA2326" s="5">
        <v>377350.0</v>
      </c>
    </row>
    <row r="2327">
      <c r="Z2327" s="5">
        <v>2325.0</v>
      </c>
      <c r="AA2327" s="5">
        <v>376537.0</v>
      </c>
    </row>
    <row r="2328">
      <c r="Z2328" s="5">
        <v>2326.0</v>
      </c>
      <c r="AA2328" s="5">
        <v>376012.0</v>
      </c>
    </row>
    <row r="2329">
      <c r="Z2329" s="5">
        <v>2327.0</v>
      </c>
      <c r="AA2329" s="5">
        <v>372597.0</v>
      </c>
    </row>
    <row r="2330">
      <c r="Z2330" s="5">
        <v>2328.0</v>
      </c>
      <c r="AA2330" s="5">
        <v>371782.0</v>
      </c>
    </row>
    <row r="2331">
      <c r="Z2331" s="5">
        <v>2329.0</v>
      </c>
      <c r="AA2331" s="5">
        <v>370495.0</v>
      </c>
    </row>
    <row r="2332">
      <c r="Z2332" s="5">
        <v>2330.0</v>
      </c>
      <c r="AA2332" s="5">
        <v>368876.0</v>
      </c>
    </row>
    <row r="2333">
      <c r="Z2333" s="5">
        <v>2331.0</v>
      </c>
      <c r="AA2333" s="5">
        <v>367386.0</v>
      </c>
    </row>
    <row r="2334">
      <c r="Z2334" s="5">
        <v>2332.0</v>
      </c>
      <c r="AA2334" s="5">
        <v>366718.0</v>
      </c>
    </row>
    <row r="2335">
      <c r="Z2335" s="5">
        <v>2333.0</v>
      </c>
      <c r="AA2335" s="5">
        <v>364837.0</v>
      </c>
    </row>
    <row r="2336">
      <c r="Z2336" s="5">
        <v>2334.0</v>
      </c>
      <c r="AA2336" s="5">
        <v>364575.0</v>
      </c>
    </row>
    <row r="2337">
      <c r="Z2337" s="5">
        <v>2335.0</v>
      </c>
      <c r="AA2337" s="5">
        <v>364565.0</v>
      </c>
    </row>
    <row r="2338">
      <c r="Z2338" s="5">
        <v>2336.0</v>
      </c>
      <c r="AA2338" s="5">
        <v>363433.0</v>
      </c>
    </row>
    <row r="2339">
      <c r="Z2339" s="5">
        <v>2337.0</v>
      </c>
      <c r="AA2339" s="5">
        <v>361243.0</v>
      </c>
    </row>
    <row r="2340">
      <c r="Z2340" s="5">
        <v>2338.0</v>
      </c>
      <c r="AA2340" s="5">
        <v>360745.0</v>
      </c>
    </row>
    <row r="2341">
      <c r="Z2341" s="5">
        <v>2339.0</v>
      </c>
      <c r="AA2341" s="5">
        <v>357437.0</v>
      </c>
    </row>
    <row r="2342">
      <c r="Z2342" s="5">
        <v>2340.0</v>
      </c>
      <c r="AA2342" s="5">
        <v>356492.0</v>
      </c>
    </row>
    <row r="2343">
      <c r="Z2343" s="5">
        <v>2341.0</v>
      </c>
      <c r="AA2343" s="5">
        <v>356325.0</v>
      </c>
    </row>
    <row r="2344">
      <c r="Z2344" s="5">
        <v>2342.0</v>
      </c>
      <c r="AA2344" s="5">
        <v>356170.0</v>
      </c>
    </row>
    <row r="2345">
      <c r="Z2345" s="5">
        <v>2343.0</v>
      </c>
      <c r="AA2345" s="5">
        <v>352772.0</v>
      </c>
    </row>
    <row r="2346">
      <c r="Z2346" s="5">
        <v>2344.0</v>
      </c>
      <c r="AA2346" s="5">
        <v>352169.0</v>
      </c>
    </row>
    <row r="2347">
      <c r="Z2347" s="5">
        <v>2345.0</v>
      </c>
      <c r="AA2347" s="5">
        <v>350839.0</v>
      </c>
    </row>
    <row r="2348">
      <c r="Z2348" s="5">
        <v>2346.0</v>
      </c>
      <c r="AA2348" s="5">
        <v>350404.0</v>
      </c>
    </row>
    <row r="2349">
      <c r="Z2349" s="5">
        <v>2347.0</v>
      </c>
      <c r="AA2349" s="5">
        <v>348153.0</v>
      </c>
    </row>
    <row r="2350">
      <c r="Z2350" s="5">
        <v>2348.0</v>
      </c>
      <c r="AA2350" s="5">
        <v>345305.0</v>
      </c>
    </row>
    <row r="2351">
      <c r="Z2351" s="5">
        <v>2349.0</v>
      </c>
      <c r="AA2351" s="5">
        <v>344804.0</v>
      </c>
    </row>
    <row r="2352">
      <c r="Z2352" s="5">
        <v>2350.0</v>
      </c>
      <c r="AA2352" s="5">
        <v>343241.0</v>
      </c>
    </row>
    <row r="2353">
      <c r="Z2353" s="5">
        <v>2351.0</v>
      </c>
      <c r="AA2353" s="5">
        <v>343042.0</v>
      </c>
    </row>
    <row r="2354">
      <c r="Z2354" s="5">
        <v>2352.0</v>
      </c>
      <c r="AA2354" s="5">
        <v>342897.0</v>
      </c>
    </row>
    <row r="2355">
      <c r="Z2355" s="5">
        <v>2353.0</v>
      </c>
      <c r="AA2355" s="5">
        <v>342525.0</v>
      </c>
    </row>
    <row r="2356">
      <c r="Z2356" s="5">
        <v>2354.0</v>
      </c>
      <c r="AA2356" s="5">
        <v>340862.0</v>
      </c>
    </row>
    <row r="2357">
      <c r="Z2357" s="5">
        <v>2355.0</v>
      </c>
      <c r="AA2357" s="5">
        <v>339319.0</v>
      </c>
    </row>
    <row r="2358">
      <c r="Z2358" s="5">
        <v>2356.0</v>
      </c>
      <c r="AA2358" s="5">
        <v>337520.0</v>
      </c>
    </row>
    <row r="2359">
      <c r="Z2359" s="5">
        <v>2357.0</v>
      </c>
      <c r="AA2359" s="5">
        <v>337068.0</v>
      </c>
    </row>
    <row r="2360">
      <c r="Z2360" s="5">
        <v>2358.0</v>
      </c>
      <c r="AA2360" s="5">
        <v>336827.0</v>
      </c>
    </row>
    <row r="2361">
      <c r="Z2361" s="5">
        <v>2359.0</v>
      </c>
      <c r="AA2361" s="5">
        <v>335049.0</v>
      </c>
    </row>
    <row r="2362">
      <c r="Z2362" s="5">
        <v>2360.0</v>
      </c>
      <c r="AA2362" s="5">
        <v>333512.0</v>
      </c>
    </row>
    <row r="2363">
      <c r="Z2363" s="5">
        <v>2361.0</v>
      </c>
      <c r="AA2363" s="5">
        <v>329593.0</v>
      </c>
    </row>
    <row r="2364">
      <c r="Z2364" s="5">
        <v>2362.0</v>
      </c>
      <c r="AA2364" s="5">
        <v>329522.0</v>
      </c>
    </row>
    <row r="2365">
      <c r="Z2365" s="5">
        <v>2363.0</v>
      </c>
      <c r="AA2365" s="5">
        <v>328604.0</v>
      </c>
    </row>
    <row r="2366">
      <c r="Z2366" s="5">
        <v>2364.0</v>
      </c>
      <c r="AA2366" s="5">
        <v>325462.0</v>
      </c>
    </row>
    <row r="2367">
      <c r="Z2367" s="5">
        <v>2365.0</v>
      </c>
      <c r="AA2367" s="5">
        <v>324775.0</v>
      </c>
    </row>
    <row r="2368">
      <c r="Z2368" s="5">
        <v>2366.0</v>
      </c>
      <c r="AA2368" s="5">
        <v>321683.0</v>
      </c>
    </row>
    <row r="2369">
      <c r="Z2369" s="5">
        <v>2367.0</v>
      </c>
      <c r="AA2369" s="5">
        <v>321587.0</v>
      </c>
    </row>
    <row r="2370">
      <c r="Z2370" s="5">
        <v>2368.0</v>
      </c>
      <c r="AA2370" s="5">
        <v>320959.0</v>
      </c>
    </row>
    <row r="2371">
      <c r="Z2371" s="5">
        <v>2369.0</v>
      </c>
      <c r="AA2371" s="5">
        <v>319484.0</v>
      </c>
    </row>
    <row r="2372">
      <c r="Z2372" s="5">
        <v>2370.0</v>
      </c>
      <c r="AA2372" s="5">
        <v>317882.0</v>
      </c>
    </row>
    <row r="2373">
      <c r="Z2373" s="5">
        <v>2371.0</v>
      </c>
      <c r="AA2373" s="5">
        <v>317783.0</v>
      </c>
    </row>
    <row r="2374">
      <c r="Z2374" s="5">
        <v>2372.0</v>
      </c>
      <c r="AA2374" s="5">
        <v>317429.0</v>
      </c>
    </row>
    <row r="2375">
      <c r="Z2375" s="5">
        <v>2373.0</v>
      </c>
      <c r="AA2375" s="5">
        <v>316891.0</v>
      </c>
    </row>
    <row r="2376">
      <c r="Z2376" s="5">
        <v>2374.0</v>
      </c>
      <c r="AA2376" s="5">
        <v>315422.0</v>
      </c>
    </row>
    <row r="2377">
      <c r="Z2377" s="5">
        <v>2375.0</v>
      </c>
      <c r="AA2377" s="5">
        <v>313426.0</v>
      </c>
    </row>
    <row r="2378">
      <c r="Z2378" s="5">
        <v>2376.0</v>
      </c>
      <c r="AA2378" s="5">
        <v>312200.0</v>
      </c>
    </row>
    <row r="2379">
      <c r="Z2379" s="5">
        <v>2377.0</v>
      </c>
      <c r="AA2379" s="5">
        <v>312067.0</v>
      </c>
    </row>
    <row r="2380">
      <c r="Z2380" s="5">
        <v>2378.0</v>
      </c>
      <c r="AA2380" s="5">
        <v>311238.0</v>
      </c>
    </row>
    <row r="2381">
      <c r="Z2381" s="5">
        <v>2379.0</v>
      </c>
      <c r="AA2381" s="5">
        <v>310615.0</v>
      </c>
    </row>
    <row r="2382">
      <c r="Z2382" s="5">
        <v>2380.0</v>
      </c>
      <c r="AA2382" s="5">
        <v>310601.0</v>
      </c>
    </row>
    <row r="2383">
      <c r="Z2383" s="5">
        <v>2381.0</v>
      </c>
      <c r="AA2383" s="5">
        <v>308540.0</v>
      </c>
    </row>
    <row r="2384">
      <c r="Z2384" s="5">
        <v>2382.0</v>
      </c>
      <c r="AA2384" s="5">
        <v>308497.0</v>
      </c>
    </row>
    <row r="2385">
      <c r="Z2385" s="5">
        <v>2383.0</v>
      </c>
      <c r="AA2385" s="5">
        <v>308403.0</v>
      </c>
    </row>
    <row r="2386">
      <c r="Z2386" s="5">
        <v>2384.0</v>
      </c>
      <c r="AA2386" s="5">
        <v>306037.0</v>
      </c>
    </row>
    <row r="2387">
      <c r="Z2387" s="5">
        <v>2385.0</v>
      </c>
      <c r="AA2387" s="5">
        <v>305734.0</v>
      </c>
    </row>
    <row r="2388">
      <c r="Z2388" s="5">
        <v>2386.0</v>
      </c>
      <c r="AA2388" s="5">
        <v>303908.0</v>
      </c>
    </row>
    <row r="2389">
      <c r="Z2389" s="5">
        <v>2387.0</v>
      </c>
      <c r="AA2389" s="5">
        <v>302911.0</v>
      </c>
    </row>
    <row r="2390">
      <c r="Z2390" s="5">
        <v>2388.0</v>
      </c>
      <c r="AA2390" s="5">
        <v>302837.0</v>
      </c>
    </row>
    <row r="2391">
      <c r="Z2391" s="5">
        <v>2389.0</v>
      </c>
      <c r="AA2391" s="5">
        <v>302758.0</v>
      </c>
    </row>
    <row r="2392">
      <c r="Z2392" s="5">
        <v>2390.0</v>
      </c>
      <c r="AA2392" s="5">
        <v>301563.0</v>
      </c>
    </row>
    <row r="2393">
      <c r="Z2393" s="5">
        <v>2391.0</v>
      </c>
      <c r="AA2393" s="5">
        <v>299211.0</v>
      </c>
    </row>
    <row r="2394">
      <c r="Z2394" s="5">
        <v>2392.0</v>
      </c>
      <c r="AA2394" s="5">
        <v>298713.0</v>
      </c>
    </row>
    <row r="2395">
      <c r="Z2395" s="5">
        <v>2393.0</v>
      </c>
      <c r="AA2395" s="5">
        <v>295616.0</v>
      </c>
    </row>
    <row r="2396">
      <c r="Z2396" s="5">
        <v>2394.0</v>
      </c>
      <c r="AA2396" s="5">
        <v>295095.0</v>
      </c>
    </row>
    <row r="2397">
      <c r="Z2397" s="5">
        <v>2395.0</v>
      </c>
      <c r="AA2397" s="5">
        <v>295010.0</v>
      </c>
    </row>
    <row r="2398">
      <c r="Z2398" s="5">
        <v>2396.0</v>
      </c>
      <c r="AA2398" s="5">
        <v>293869.0</v>
      </c>
    </row>
    <row r="2399">
      <c r="Z2399" s="5">
        <v>2397.0</v>
      </c>
      <c r="AA2399" s="5">
        <v>291585.0</v>
      </c>
    </row>
    <row r="2400">
      <c r="Z2400" s="5">
        <v>2398.0</v>
      </c>
      <c r="AA2400" s="5">
        <v>291175.0</v>
      </c>
    </row>
    <row r="2401">
      <c r="Z2401" s="5">
        <v>2399.0</v>
      </c>
      <c r="AA2401" s="5">
        <v>288509.0</v>
      </c>
    </row>
    <row r="2402">
      <c r="Z2402" s="5">
        <v>2400.0</v>
      </c>
      <c r="AA2402" s="5">
        <v>288269.0</v>
      </c>
    </row>
    <row r="2403">
      <c r="Z2403" s="5">
        <v>2401.0</v>
      </c>
      <c r="AA2403" s="5">
        <v>287503.0</v>
      </c>
    </row>
    <row r="2404">
      <c r="Z2404" s="5">
        <v>2402.0</v>
      </c>
      <c r="AA2404" s="5">
        <v>285874.0</v>
      </c>
    </row>
    <row r="2405">
      <c r="Z2405" s="5">
        <v>2403.0</v>
      </c>
      <c r="AA2405" s="5">
        <v>283638.0</v>
      </c>
    </row>
    <row r="2406">
      <c r="Z2406" s="5">
        <v>2404.0</v>
      </c>
      <c r="AA2406" s="5">
        <v>283270.0</v>
      </c>
    </row>
    <row r="2407">
      <c r="Z2407" s="5">
        <v>2405.0</v>
      </c>
      <c r="AA2407" s="5">
        <v>277159.0</v>
      </c>
    </row>
    <row r="2408">
      <c r="Z2408" s="5">
        <v>2406.0</v>
      </c>
      <c r="AA2408" s="5">
        <v>276434.0</v>
      </c>
    </row>
    <row r="2409">
      <c r="Z2409" s="5">
        <v>2407.0</v>
      </c>
      <c r="AA2409" s="5">
        <v>276270.0</v>
      </c>
    </row>
    <row r="2410">
      <c r="Z2410" s="5">
        <v>2408.0</v>
      </c>
      <c r="AA2410" s="5">
        <v>275841.0</v>
      </c>
    </row>
    <row r="2411">
      <c r="Z2411" s="5">
        <v>2409.0</v>
      </c>
      <c r="AA2411" s="5">
        <v>275319.0</v>
      </c>
    </row>
    <row r="2412">
      <c r="Z2412" s="5">
        <v>2410.0</v>
      </c>
      <c r="AA2412" s="5">
        <v>274305.0</v>
      </c>
    </row>
    <row r="2413">
      <c r="Z2413" s="5">
        <v>2411.0</v>
      </c>
      <c r="AA2413" s="5">
        <v>272933.0</v>
      </c>
    </row>
    <row r="2414">
      <c r="Z2414" s="5">
        <v>2412.0</v>
      </c>
      <c r="AA2414" s="5">
        <v>272124.0</v>
      </c>
    </row>
    <row r="2415">
      <c r="Z2415" s="5">
        <v>2413.0</v>
      </c>
      <c r="AA2415" s="5">
        <v>271720.0</v>
      </c>
    </row>
    <row r="2416">
      <c r="Z2416" s="5">
        <v>2414.0</v>
      </c>
      <c r="AA2416" s="5">
        <v>270250.0</v>
      </c>
    </row>
    <row r="2417">
      <c r="Z2417" s="5">
        <v>2415.0</v>
      </c>
      <c r="AA2417" s="5">
        <v>269749.0</v>
      </c>
    </row>
    <row r="2418">
      <c r="Z2418" s="5">
        <v>2416.0</v>
      </c>
      <c r="AA2418" s="5">
        <v>267714.0</v>
      </c>
    </row>
    <row r="2419">
      <c r="Z2419" s="5">
        <v>2417.0</v>
      </c>
      <c r="AA2419" s="5">
        <v>266140.0</v>
      </c>
    </row>
    <row r="2420">
      <c r="Z2420" s="5">
        <v>2418.0</v>
      </c>
      <c r="AA2420" s="5">
        <v>264256.0</v>
      </c>
    </row>
    <row r="2421">
      <c r="Z2421" s="5">
        <v>2419.0</v>
      </c>
      <c r="AA2421" s="5">
        <v>263941.0</v>
      </c>
    </row>
    <row r="2422">
      <c r="Z2422" s="5">
        <v>2420.0</v>
      </c>
      <c r="AA2422" s="5">
        <v>262688.0</v>
      </c>
    </row>
    <row r="2423">
      <c r="Z2423" s="5">
        <v>2421.0</v>
      </c>
      <c r="AA2423" s="5">
        <v>261426.0</v>
      </c>
    </row>
    <row r="2424">
      <c r="Z2424" s="5">
        <v>2422.0</v>
      </c>
      <c r="AA2424" s="5">
        <v>260672.0</v>
      </c>
    </row>
    <row r="2425">
      <c r="Z2425" s="5">
        <v>2423.0</v>
      </c>
      <c r="AA2425" s="5">
        <v>260591.0</v>
      </c>
    </row>
    <row r="2426">
      <c r="Z2426" s="5">
        <v>2424.0</v>
      </c>
      <c r="AA2426" s="5">
        <v>260148.0</v>
      </c>
    </row>
    <row r="2427">
      <c r="Z2427" s="5">
        <v>2425.0</v>
      </c>
      <c r="AA2427" s="5">
        <v>259201.0</v>
      </c>
    </row>
    <row r="2428">
      <c r="Z2428" s="5">
        <v>2426.0</v>
      </c>
      <c r="AA2428" s="5">
        <v>256333.0</v>
      </c>
    </row>
    <row r="2429">
      <c r="Z2429" s="5">
        <v>2427.0</v>
      </c>
      <c r="AA2429" s="5">
        <v>256331.0</v>
      </c>
    </row>
    <row r="2430">
      <c r="Z2430" s="5">
        <v>2428.0</v>
      </c>
      <c r="AA2430" s="5">
        <v>254880.0</v>
      </c>
    </row>
    <row r="2431">
      <c r="Z2431" s="5">
        <v>2429.0</v>
      </c>
      <c r="AA2431" s="5">
        <v>252781.0</v>
      </c>
    </row>
    <row r="2432">
      <c r="Z2432" s="5">
        <v>2430.0</v>
      </c>
      <c r="AA2432" s="5">
        <v>252051.0</v>
      </c>
    </row>
    <row r="2433">
      <c r="Z2433" s="5">
        <v>2431.0</v>
      </c>
      <c r="AA2433" s="5">
        <v>251840.0</v>
      </c>
    </row>
    <row r="2434">
      <c r="Z2434" s="5">
        <v>2432.0</v>
      </c>
      <c r="AA2434" s="5">
        <v>249538.0</v>
      </c>
    </row>
    <row r="2435">
      <c r="Z2435" s="5">
        <v>2433.0</v>
      </c>
      <c r="AA2435" s="5">
        <v>249140.0</v>
      </c>
    </row>
    <row r="2436">
      <c r="Z2436" s="5">
        <v>2434.0</v>
      </c>
      <c r="AA2436" s="5">
        <v>248343.0</v>
      </c>
    </row>
    <row r="2437">
      <c r="Z2437" s="5">
        <v>2435.0</v>
      </c>
      <c r="AA2437" s="5">
        <v>247898.0</v>
      </c>
    </row>
    <row r="2438">
      <c r="Z2438" s="5">
        <v>2436.0</v>
      </c>
      <c r="AA2438" s="5">
        <v>247193.0</v>
      </c>
    </row>
    <row r="2439">
      <c r="Z2439" s="5">
        <v>2437.0</v>
      </c>
      <c r="AA2439" s="5">
        <v>247161.0</v>
      </c>
    </row>
    <row r="2440">
      <c r="Z2440" s="5">
        <v>2438.0</v>
      </c>
      <c r="AA2440" s="5">
        <v>245421.0</v>
      </c>
    </row>
    <row r="2441">
      <c r="Z2441" s="5">
        <v>2439.0</v>
      </c>
      <c r="AA2441" s="5">
        <v>244899.0</v>
      </c>
    </row>
    <row r="2442">
      <c r="Z2442" s="5">
        <v>2440.0</v>
      </c>
      <c r="AA2442" s="5">
        <v>243464.0</v>
      </c>
    </row>
    <row r="2443">
      <c r="Z2443" s="5">
        <v>2441.0</v>
      </c>
      <c r="AA2443" s="5">
        <v>243242.0</v>
      </c>
    </row>
    <row r="2444">
      <c r="Z2444" s="5">
        <v>2442.0</v>
      </c>
      <c r="AA2444" s="5">
        <v>241151.0</v>
      </c>
    </row>
    <row r="2445">
      <c r="Z2445" s="5">
        <v>2443.0</v>
      </c>
      <c r="AA2445" s="5">
        <v>240407.0</v>
      </c>
    </row>
    <row r="2446">
      <c r="Z2446" s="5">
        <v>2444.0</v>
      </c>
      <c r="AA2446" s="5">
        <v>239238.0</v>
      </c>
    </row>
    <row r="2447">
      <c r="Z2447" s="5">
        <v>2445.0</v>
      </c>
      <c r="AA2447" s="5">
        <v>236510.0</v>
      </c>
    </row>
    <row r="2448">
      <c r="Z2448" s="5">
        <v>2446.0</v>
      </c>
      <c r="AA2448" s="5">
        <v>231210.0</v>
      </c>
    </row>
    <row r="2449">
      <c r="Z2449" s="5">
        <v>2447.0</v>
      </c>
      <c r="AA2449" s="5">
        <v>229214.0</v>
      </c>
    </row>
    <row r="2450">
      <c r="Z2450" s="5">
        <v>2448.0</v>
      </c>
      <c r="AA2450" s="5">
        <v>229023.0</v>
      </c>
    </row>
    <row r="2451">
      <c r="Z2451" s="5">
        <v>2449.0</v>
      </c>
      <c r="AA2451" s="5">
        <v>226865.0</v>
      </c>
    </row>
    <row r="2452">
      <c r="Z2452" s="5">
        <v>2450.0</v>
      </c>
      <c r="AA2452" s="5">
        <v>223838.0</v>
      </c>
    </row>
    <row r="2453">
      <c r="Z2453" s="5">
        <v>2451.0</v>
      </c>
      <c r="AA2453" s="5">
        <v>223819.0</v>
      </c>
    </row>
    <row r="2454">
      <c r="Z2454" s="5">
        <v>2452.0</v>
      </c>
      <c r="AA2454" s="5">
        <v>223791.0</v>
      </c>
    </row>
    <row r="2455">
      <c r="Z2455" s="5">
        <v>2453.0</v>
      </c>
      <c r="AA2455" s="5">
        <v>222552.0</v>
      </c>
    </row>
    <row r="2456">
      <c r="Z2456" s="5">
        <v>2454.0</v>
      </c>
      <c r="AA2456" s="5">
        <v>222485.0</v>
      </c>
    </row>
    <row r="2457">
      <c r="Z2457" s="5">
        <v>2455.0</v>
      </c>
      <c r="AA2457" s="5">
        <v>222437.0</v>
      </c>
    </row>
    <row r="2458">
      <c r="Z2458" s="5">
        <v>2456.0</v>
      </c>
      <c r="AA2458" s="5">
        <v>220028.0</v>
      </c>
    </row>
    <row r="2459">
      <c r="Z2459" s="5">
        <v>2457.0</v>
      </c>
      <c r="AA2459" s="5">
        <v>219989.0</v>
      </c>
    </row>
    <row r="2460">
      <c r="Z2460" s="5">
        <v>2458.0</v>
      </c>
      <c r="AA2460" s="5">
        <v>216673.0</v>
      </c>
    </row>
    <row r="2461">
      <c r="Z2461" s="5">
        <v>2459.0</v>
      </c>
      <c r="AA2461" s="5">
        <v>214905.0</v>
      </c>
    </row>
    <row r="2462">
      <c r="Z2462" s="5">
        <v>2460.0</v>
      </c>
      <c r="AA2462" s="5">
        <v>214839.0</v>
      </c>
    </row>
    <row r="2463">
      <c r="Z2463" s="5">
        <v>2461.0</v>
      </c>
      <c r="AA2463" s="5">
        <v>214208.0</v>
      </c>
    </row>
    <row r="2464">
      <c r="Z2464" s="5">
        <v>2462.0</v>
      </c>
      <c r="AA2464" s="5">
        <v>212842.0</v>
      </c>
    </row>
    <row r="2465">
      <c r="Z2465" s="5">
        <v>2463.0</v>
      </c>
      <c r="AA2465" s="5">
        <v>210128.0</v>
      </c>
    </row>
    <row r="2466">
      <c r="Z2466" s="5">
        <v>2464.0</v>
      </c>
      <c r="AA2466" s="5">
        <v>208759.0</v>
      </c>
    </row>
    <row r="2467">
      <c r="Z2467" s="5">
        <v>2465.0</v>
      </c>
      <c r="AA2467" s="5">
        <v>208226.0</v>
      </c>
    </row>
    <row r="2468">
      <c r="Z2468" s="5">
        <v>2466.0</v>
      </c>
      <c r="AA2468" s="5">
        <v>208140.0</v>
      </c>
    </row>
    <row r="2469">
      <c r="Z2469" s="5">
        <v>2467.0</v>
      </c>
      <c r="AA2469" s="5">
        <v>208044.0</v>
      </c>
    </row>
    <row r="2470">
      <c r="Z2470" s="5">
        <v>2468.0</v>
      </c>
      <c r="AA2470" s="5">
        <v>208037.0</v>
      </c>
    </row>
    <row r="2471">
      <c r="Z2471" s="5">
        <v>2469.0</v>
      </c>
      <c r="AA2471" s="5">
        <v>207647.0</v>
      </c>
    </row>
    <row r="2472">
      <c r="Z2472" s="5">
        <v>2470.0</v>
      </c>
      <c r="AA2472" s="5">
        <v>205889.0</v>
      </c>
    </row>
    <row r="2473">
      <c r="Z2473" s="5">
        <v>2471.0</v>
      </c>
      <c r="AA2473" s="5">
        <v>205889.0</v>
      </c>
    </row>
    <row r="2474">
      <c r="Z2474" s="5">
        <v>2472.0</v>
      </c>
      <c r="AA2474" s="5">
        <v>205889.0</v>
      </c>
    </row>
    <row r="2475">
      <c r="Z2475" s="5">
        <v>2473.0</v>
      </c>
      <c r="AA2475" s="5">
        <v>204394.0</v>
      </c>
    </row>
    <row r="2476">
      <c r="Z2476" s="5">
        <v>2474.0</v>
      </c>
      <c r="AA2476" s="5">
        <v>202943.0</v>
      </c>
    </row>
    <row r="2477">
      <c r="Z2477" s="5">
        <v>2475.0</v>
      </c>
      <c r="AA2477" s="5">
        <v>202544.0</v>
      </c>
    </row>
    <row r="2478">
      <c r="Z2478" s="5">
        <v>2476.0</v>
      </c>
      <c r="AA2478" s="5">
        <v>200705.0</v>
      </c>
    </row>
    <row r="2479">
      <c r="Z2479" s="5">
        <v>2477.0</v>
      </c>
      <c r="AA2479" s="5">
        <v>200169.0</v>
      </c>
    </row>
    <row r="2480">
      <c r="Z2480" s="5">
        <v>2478.0</v>
      </c>
      <c r="AA2480" s="5">
        <v>198880.0</v>
      </c>
    </row>
    <row r="2481">
      <c r="Z2481" s="5">
        <v>2479.0</v>
      </c>
      <c r="AA2481" s="5">
        <v>196652.0</v>
      </c>
    </row>
    <row r="2482">
      <c r="Z2482" s="5">
        <v>2480.0</v>
      </c>
      <c r="AA2482" s="5">
        <v>196269.0</v>
      </c>
    </row>
    <row r="2483">
      <c r="Z2483" s="5">
        <v>2481.0</v>
      </c>
      <c r="AA2483" s="5">
        <v>192819.0</v>
      </c>
    </row>
    <row r="2484">
      <c r="Z2484" s="5">
        <v>2482.0</v>
      </c>
      <c r="AA2484" s="5">
        <v>191288.0</v>
      </c>
    </row>
    <row r="2485">
      <c r="Z2485" s="5">
        <v>2483.0</v>
      </c>
      <c r="AA2485" s="5">
        <v>191181.0</v>
      </c>
    </row>
    <row r="2486">
      <c r="Z2486" s="5">
        <v>2484.0</v>
      </c>
      <c r="AA2486" s="5">
        <v>190511.0</v>
      </c>
    </row>
    <row r="2487">
      <c r="Z2487" s="5">
        <v>2485.0</v>
      </c>
      <c r="AA2487" s="5">
        <v>186610.0</v>
      </c>
    </row>
    <row r="2488">
      <c r="Z2488" s="5">
        <v>2486.0</v>
      </c>
      <c r="AA2488" s="5">
        <v>186454.0</v>
      </c>
    </row>
    <row r="2489">
      <c r="Z2489" s="5">
        <v>2487.0</v>
      </c>
      <c r="AA2489" s="5">
        <v>184078.0</v>
      </c>
    </row>
    <row r="2490">
      <c r="Z2490" s="5">
        <v>2488.0</v>
      </c>
      <c r="AA2490" s="5">
        <v>182986.0</v>
      </c>
    </row>
    <row r="2491">
      <c r="Z2491" s="5">
        <v>2489.0</v>
      </c>
      <c r="AA2491" s="5">
        <v>182202.0</v>
      </c>
    </row>
    <row r="2492">
      <c r="Z2492" s="5">
        <v>2490.0</v>
      </c>
      <c r="AA2492" s="5">
        <v>181588.0</v>
      </c>
    </row>
    <row r="2493">
      <c r="Z2493" s="5">
        <v>2491.0</v>
      </c>
      <c r="AA2493" s="5">
        <v>180708.0</v>
      </c>
    </row>
    <row r="2494">
      <c r="Z2494" s="5">
        <v>2492.0</v>
      </c>
      <c r="AA2494" s="5">
        <v>180002.0</v>
      </c>
    </row>
    <row r="2495">
      <c r="Z2495" s="5">
        <v>2493.0</v>
      </c>
      <c r="AA2495" s="5">
        <v>179001.0</v>
      </c>
    </row>
    <row r="2496">
      <c r="Z2496" s="5">
        <v>2494.0</v>
      </c>
      <c r="AA2496" s="5">
        <v>178924.0</v>
      </c>
    </row>
    <row r="2497">
      <c r="Z2497" s="5">
        <v>2495.0</v>
      </c>
      <c r="AA2497" s="5">
        <v>178476.0</v>
      </c>
    </row>
    <row r="2498">
      <c r="Z2498" s="5">
        <v>2496.0</v>
      </c>
      <c r="AA2498" s="5">
        <v>178438.0</v>
      </c>
    </row>
    <row r="2499">
      <c r="Z2499" s="5">
        <v>2497.0</v>
      </c>
      <c r="AA2499" s="5">
        <v>174864.0</v>
      </c>
    </row>
    <row r="2500">
      <c r="Z2500" s="5">
        <v>2498.0</v>
      </c>
      <c r="AA2500" s="5">
        <v>173989.0</v>
      </c>
    </row>
    <row r="2501">
      <c r="Z2501" s="5">
        <v>2499.0</v>
      </c>
      <c r="AA2501" s="5">
        <v>168679.0</v>
      </c>
    </row>
    <row r="2502">
      <c r="Z2502" s="5">
        <v>2500.0</v>
      </c>
      <c r="AA2502" s="5">
        <v>168632.0</v>
      </c>
    </row>
    <row r="2503">
      <c r="Z2503" s="5">
        <v>2501.0</v>
      </c>
      <c r="AA2503" s="5">
        <v>167272.0</v>
      </c>
    </row>
    <row r="2504">
      <c r="Z2504" s="5">
        <v>2502.0</v>
      </c>
      <c r="AA2504" s="5">
        <v>165607.0</v>
      </c>
    </row>
    <row r="2505">
      <c r="Z2505" s="5">
        <v>2503.0</v>
      </c>
      <c r="AA2505" s="5">
        <v>165532.0</v>
      </c>
    </row>
    <row r="2506">
      <c r="Z2506" s="5">
        <v>2504.0</v>
      </c>
      <c r="AA2506" s="5">
        <v>165515.0</v>
      </c>
    </row>
    <row r="2507">
      <c r="Z2507" s="5">
        <v>2505.0</v>
      </c>
      <c r="AA2507" s="5">
        <v>164607.0</v>
      </c>
    </row>
    <row r="2508">
      <c r="Z2508" s="5">
        <v>2506.0</v>
      </c>
      <c r="AA2508" s="5">
        <v>164584.0</v>
      </c>
    </row>
    <row r="2509">
      <c r="Z2509" s="5">
        <v>2507.0</v>
      </c>
      <c r="AA2509" s="5">
        <v>163930.0</v>
      </c>
    </row>
    <row r="2510">
      <c r="Z2510" s="5">
        <v>2508.0</v>
      </c>
      <c r="AA2510" s="5">
        <v>163884.0</v>
      </c>
    </row>
    <row r="2511">
      <c r="Z2511" s="5">
        <v>2509.0</v>
      </c>
      <c r="AA2511" s="5">
        <v>162645.0</v>
      </c>
    </row>
    <row r="2512">
      <c r="Z2512" s="5">
        <v>2510.0</v>
      </c>
      <c r="AA2512" s="5">
        <v>162118.0</v>
      </c>
    </row>
    <row r="2513">
      <c r="Z2513" s="5">
        <v>2511.0</v>
      </c>
      <c r="AA2513" s="5">
        <v>161870.0</v>
      </c>
    </row>
    <row r="2514">
      <c r="Z2514" s="5">
        <v>2512.0</v>
      </c>
      <c r="AA2514" s="5">
        <v>161357.0</v>
      </c>
    </row>
    <row r="2515">
      <c r="Z2515" s="5">
        <v>2513.0</v>
      </c>
      <c r="AA2515" s="5">
        <v>160274.0</v>
      </c>
    </row>
    <row r="2516">
      <c r="Z2516" s="5">
        <v>2514.0</v>
      </c>
      <c r="AA2516" s="5">
        <v>159004.0</v>
      </c>
    </row>
    <row r="2517">
      <c r="Z2517" s="5">
        <v>2515.0</v>
      </c>
      <c r="AA2517" s="5">
        <v>158898.0</v>
      </c>
    </row>
    <row r="2518">
      <c r="Z2518" s="5">
        <v>2516.0</v>
      </c>
      <c r="AA2518" s="5">
        <v>158280.0</v>
      </c>
    </row>
    <row r="2519">
      <c r="Z2519" s="5">
        <v>2517.0</v>
      </c>
      <c r="AA2519" s="5">
        <v>157313.0</v>
      </c>
    </row>
    <row r="2520">
      <c r="Z2520" s="5">
        <v>2518.0</v>
      </c>
      <c r="AA2520" s="5">
        <v>157251.0</v>
      </c>
    </row>
    <row r="2521">
      <c r="Z2521" s="5">
        <v>2519.0</v>
      </c>
      <c r="AA2521" s="5">
        <v>153561.0</v>
      </c>
    </row>
    <row r="2522">
      <c r="Z2522" s="5">
        <v>2520.0</v>
      </c>
      <c r="AA2522" s="5">
        <v>152766.0</v>
      </c>
    </row>
    <row r="2523">
      <c r="Z2523" s="5">
        <v>2521.0</v>
      </c>
      <c r="AA2523" s="5">
        <v>152766.0</v>
      </c>
    </row>
    <row r="2524">
      <c r="Z2524" s="5">
        <v>2522.0</v>
      </c>
      <c r="AA2524" s="5">
        <v>152544.0</v>
      </c>
    </row>
    <row r="2525">
      <c r="Z2525" s="5">
        <v>2523.0</v>
      </c>
      <c r="AA2525" s="5">
        <v>151107.0</v>
      </c>
    </row>
    <row r="2526">
      <c r="Z2526" s="5">
        <v>2524.0</v>
      </c>
      <c r="AA2526" s="5">
        <v>150104.0</v>
      </c>
    </row>
    <row r="2527">
      <c r="Z2527" s="5">
        <v>2525.0</v>
      </c>
      <c r="AA2527" s="5">
        <v>147535.0</v>
      </c>
    </row>
    <row r="2528">
      <c r="Z2528" s="5">
        <v>2526.0</v>
      </c>
      <c r="AA2528" s="5">
        <v>147006.0</v>
      </c>
    </row>
    <row r="2529">
      <c r="Z2529" s="5">
        <v>2527.0</v>
      </c>
      <c r="AA2529" s="5">
        <v>146339.0</v>
      </c>
    </row>
    <row r="2530">
      <c r="Z2530" s="5">
        <v>2528.0</v>
      </c>
      <c r="AA2530" s="5">
        <v>145651.0</v>
      </c>
    </row>
    <row r="2531">
      <c r="Z2531" s="5">
        <v>2529.0</v>
      </c>
      <c r="AA2531" s="5">
        <v>142962.0</v>
      </c>
    </row>
    <row r="2532">
      <c r="Z2532" s="5">
        <v>2530.0</v>
      </c>
      <c r="AA2532" s="5">
        <v>142730.0</v>
      </c>
    </row>
    <row r="2533">
      <c r="Z2533" s="5">
        <v>2531.0</v>
      </c>
      <c r="AA2533" s="5">
        <v>142607.0</v>
      </c>
    </row>
    <row r="2534">
      <c r="Z2534" s="5">
        <v>2532.0</v>
      </c>
      <c r="AA2534" s="5">
        <v>141188.0</v>
      </c>
    </row>
    <row r="2535">
      <c r="Z2535" s="5">
        <v>2533.0</v>
      </c>
      <c r="AA2535" s="5">
        <v>140595.0</v>
      </c>
    </row>
    <row r="2536">
      <c r="Z2536" s="5">
        <v>2534.0</v>
      </c>
      <c r="AA2536" s="5">
        <v>139082.0</v>
      </c>
    </row>
    <row r="2537">
      <c r="Z2537" s="5">
        <v>2535.0</v>
      </c>
      <c r="AA2537" s="5">
        <v>138503.0</v>
      </c>
    </row>
    <row r="2538">
      <c r="Z2538" s="5">
        <v>2536.0</v>
      </c>
      <c r="AA2538" s="5">
        <v>138030.0</v>
      </c>
    </row>
    <row r="2539">
      <c r="Z2539" s="5">
        <v>2537.0</v>
      </c>
      <c r="AA2539" s="5">
        <v>137751.0</v>
      </c>
    </row>
    <row r="2540">
      <c r="Z2540" s="5">
        <v>2538.0</v>
      </c>
      <c r="AA2540" s="5">
        <v>137001.0</v>
      </c>
    </row>
    <row r="2541">
      <c r="Z2541" s="5">
        <v>2539.0</v>
      </c>
      <c r="AA2541" s="5">
        <v>135762.0</v>
      </c>
    </row>
    <row r="2542">
      <c r="Z2542" s="5">
        <v>2540.0</v>
      </c>
      <c r="AA2542" s="5">
        <v>135646.0</v>
      </c>
    </row>
    <row r="2543">
      <c r="Z2543" s="5">
        <v>2541.0</v>
      </c>
      <c r="AA2543" s="5">
        <v>134950.0</v>
      </c>
    </row>
    <row r="2544">
      <c r="Z2544" s="5">
        <v>2542.0</v>
      </c>
      <c r="AA2544" s="5">
        <v>134736.0</v>
      </c>
    </row>
    <row r="2545">
      <c r="Z2545" s="5">
        <v>2543.0</v>
      </c>
      <c r="AA2545" s="5">
        <v>133629.0</v>
      </c>
    </row>
    <row r="2546">
      <c r="Z2546" s="5">
        <v>2544.0</v>
      </c>
      <c r="AA2546" s="5">
        <v>132713.0</v>
      </c>
    </row>
    <row r="2547">
      <c r="Z2547" s="5">
        <v>2545.0</v>
      </c>
      <c r="AA2547" s="5">
        <v>132343.0</v>
      </c>
    </row>
    <row r="2548">
      <c r="Z2548" s="5">
        <v>2546.0</v>
      </c>
      <c r="AA2548" s="5">
        <v>131855.0</v>
      </c>
    </row>
    <row r="2549">
      <c r="Z2549" s="5">
        <v>2547.0</v>
      </c>
      <c r="AA2549" s="5">
        <v>130510.0</v>
      </c>
    </row>
    <row r="2550">
      <c r="Z2550" s="5">
        <v>2548.0</v>
      </c>
      <c r="AA2550" s="5">
        <v>129906.0</v>
      </c>
    </row>
    <row r="2551">
      <c r="Z2551" s="5">
        <v>2549.0</v>
      </c>
      <c r="AA2551" s="5">
        <v>129906.0</v>
      </c>
    </row>
    <row r="2552">
      <c r="Z2552" s="5">
        <v>2550.0</v>
      </c>
      <c r="AA2552" s="5">
        <v>128146.0</v>
      </c>
    </row>
    <row r="2553">
      <c r="Z2553" s="5">
        <v>2551.0</v>
      </c>
      <c r="AA2553" s="5">
        <v>127492.0</v>
      </c>
    </row>
    <row r="2554">
      <c r="Z2554" s="5">
        <v>2552.0</v>
      </c>
      <c r="AA2554" s="5">
        <v>125902.0</v>
      </c>
    </row>
    <row r="2555">
      <c r="Z2555" s="5">
        <v>2553.0</v>
      </c>
      <c r="AA2555" s="5">
        <v>125852.0</v>
      </c>
    </row>
    <row r="2556">
      <c r="Z2556" s="5">
        <v>2554.0</v>
      </c>
      <c r="AA2556" s="5">
        <v>124947.0</v>
      </c>
    </row>
    <row r="2557">
      <c r="Z2557" s="5">
        <v>2555.0</v>
      </c>
      <c r="AA2557" s="5">
        <v>124658.0</v>
      </c>
    </row>
    <row r="2558">
      <c r="Z2558" s="5">
        <v>2556.0</v>
      </c>
      <c r="AA2558" s="5">
        <v>123449.0</v>
      </c>
    </row>
    <row r="2559">
      <c r="Z2559" s="5">
        <v>2557.0</v>
      </c>
      <c r="AA2559" s="5">
        <v>122697.0</v>
      </c>
    </row>
    <row r="2560">
      <c r="Z2560" s="5">
        <v>2558.0</v>
      </c>
      <c r="AA2560" s="5">
        <v>122358.0</v>
      </c>
    </row>
    <row r="2561">
      <c r="Z2561" s="5">
        <v>2559.0</v>
      </c>
      <c r="AA2561" s="5">
        <v>120273.0</v>
      </c>
    </row>
    <row r="2562">
      <c r="Z2562" s="5">
        <v>2560.0</v>
      </c>
      <c r="AA2562" s="5">
        <v>120188.0</v>
      </c>
    </row>
    <row r="2563">
      <c r="Z2563" s="5">
        <v>2561.0</v>
      </c>
      <c r="AA2563" s="5">
        <v>118279.0</v>
      </c>
    </row>
    <row r="2564">
      <c r="Z2564" s="5">
        <v>2562.0</v>
      </c>
      <c r="AA2564" s="5">
        <v>117555.0</v>
      </c>
    </row>
    <row r="2565">
      <c r="Z2565" s="5">
        <v>2563.0</v>
      </c>
      <c r="AA2565" s="5">
        <v>116461.0</v>
      </c>
    </row>
    <row r="2566">
      <c r="Z2566" s="5">
        <v>2564.0</v>
      </c>
      <c r="AA2566" s="5">
        <v>116314.0</v>
      </c>
    </row>
    <row r="2567">
      <c r="Z2567" s="5">
        <v>2565.0</v>
      </c>
      <c r="AA2567" s="5">
        <v>114718.0</v>
      </c>
    </row>
    <row r="2568">
      <c r="Z2568" s="5">
        <v>2566.0</v>
      </c>
      <c r="AA2568" s="5">
        <v>114657.0</v>
      </c>
    </row>
    <row r="2569">
      <c r="Z2569" s="5">
        <v>2567.0</v>
      </c>
      <c r="AA2569" s="5">
        <v>114174.0</v>
      </c>
    </row>
    <row r="2570">
      <c r="Z2570" s="5">
        <v>2568.0</v>
      </c>
      <c r="AA2570" s="5">
        <v>113714.0</v>
      </c>
    </row>
    <row r="2571">
      <c r="Z2571" s="5">
        <v>2569.0</v>
      </c>
      <c r="AA2571" s="5">
        <v>112698.0</v>
      </c>
    </row>
    <row r="2572">
      <c r="Z2572" s="5">
        <v>2570.0</v>
      </c>
      <c r="AA2572" s="5">
        <v>112312.0</v>
      </c>
    </row>
    <row r="2573">
      <c r="Z2573" s="5">
        <v>2571.0</v>
      </c>
      <c r="AA2573" s="5">
        <v>111950.0</v>
      </c>
    </row>
    <row r="2574">
      <c r="Z2574" s="5">
        <v>2572.0</v>
      </c>
      <c r="AA2574" s="5">
        <v>111423.0</v>
      </c>
    </row>
    <row r="2575">
      <c r="Z2575" s="5">
        <v>2573.0</v>
      </c>
      <c r="AA2575" s="5">
        <v>110141.0</v>
      </c>
    </row>
    <row r="2576">
      <c r="Z2576" s="5">
        <v>2574.0</v>
      </c>
      <c r="AA2576" s="5">
        <v>108639.0</v>
      </c>
    </row>
    <row r="2577">
      <c r="Z2577" s="5">
        <v>2575.0</v>
      </c>
      <c r="AA2577" s="5">
        <v>107564.0</v>
      </c>
    </row>
    <row r="2578">
      <c r="Z2578" s="5">
        <v>2576.0</v>
      </c>
      <c r="AA2578" s="5">
        <v>106698.0</v>
      </c>
    </row>
    <row r="2579">
      <c r="Z2579" s="5">
        <v>2577.0</v>
      </c>
      <c r="AA2579" s="5">
        <v>106667.0</v>
      </c>
    </row>
    <row r="2580">
      <c r="Z2580" s="5">
        <v>2578.0</v>
      </c>
      <c r="AA2580" s="5">
        <v>106556.0</v>
      </c>
    </row>
    <row r="2581">
      <c r="Z2581" s="5">
        <v>2579.0</v>
      </c>
      <c r="AA2581" s="5">
        <v>105347.0</v>
      </c>
    </row>
    <row r="2582">
      <c r="Z2582" s="5">
        <v>2580.0</v>
      </c>
      <c r="AA2582" s="5">
        <v>105091.0</v>
      </c>
    </row>
    <row r="2583">
      <c r="Z2583" s="5">
        <v>2581.0</v>
      </c>
      <c r="AA2583" s="5">
        <v>104969.0</v>
      </c>
    </row>
    <row r="2584">
      <c r="Z2584" s="5">
        <v>2582.0</v>
      </c>
      <c r="AA2584" s="5">
        <v>104879.0</v>
      </c>
    </row>
    <row r="2585">
      <c r="Z2585" s="5">
        <v>2583.0</v>
      </c>
      <c r="AA2585" s="5">
        <v>104779.0</v>
      </c>
    </row>
    <row r="2586">
      <c r="Z2586" s="5">
        <v>2584.0</v>
      </c>
      <c r="AA2586" s="5">
        <v>104779.0</v>
      </c>
    </row>
    <row r="2587">
      <c r="Z2587" s="5">
        <v>2585.0</v>
      </c>
      <c r="AA2587" s="5">
        <v>104779.0</v>
      </c>
    </row>
    <row r="2588">
      <c r="Z2588" s="5">
        <v>2586.0</v>
      </c>
      <c r="AA2588" s="5">
        <v>104779.0</v>
      </c>
    </row>
    <row r="2589">
      <c r="Z2589" s="5">
        <v>2587.0</v>
      </c>
      <c r="AA2589" s="5">
        <v>104779.0</v>
      </c>
    </row>
    <row r="2590">
      <c r="Z2590" s="5">
        <v>2588.0</v>
      </c>
      <c r="AA2590" s="5">
        <v>104779.0</v>
      </c>
    </row>
    <row r="2591">
      <c r="Z2591" s="5">
        <v>2589.0</v>
      </c>
      <c r="AA2591" s="5">
        <v>104779.0</v>
      </c>
    </row>
    <row r="2592">
      <c r="Z2592" s="5">
        <v>2590.0</v>
      </c>
      <c r="AA2592" s="5">
        <v>104779.0</v>
      </c>
    </row>
    <row r="2593">
      <c r="Z2593" s="5">
        <v>2591.0</v>
      </c>
      <c r="AA2593" s="5">
        <v>104779.0</v>
      </c>
    </row>
    <row r="2594">
      <c r="Z2594" s="5">
        <v>2592.0</v>
      </c>
      <c r="AA2594" s="5">
        <v>104779.0</v>
      </c>
    </row>
    <row r="2595">
      <c r="Z2595" s="5">
        <v>2593.0</v>
      </c>
      <c r="AA2595" s="5">
        <v>104779.0</v>
      </c>
    </row>
    <row r="2596">
      <c r="Z2596" s="5">
        <v>2594.0</v>
      </c>
      <c r="AA2596" s="5">
        <v>104779.0</v>
      </c>
    </row>
    <row r="2597">
      <c r="Z2597" s="5">
        <v>2595.0</v>
      </c>
      <c r="AA2597" s="5">
        <v>104779.0</v>
      </c>
    </row>
    <row r="2598">
      <c r="Z2598" s="5">
        <v>2596.0</v>
      </c>
      <c r="AA2598" s="5">
        <v>104779.0</v>
      </c>
    </row>
    <row r="2599">
      <c r="Z2599" s="5">
        <v>2597.0</v>
      </c>
      <c r="AA2599" s="5">
        <v>104779.0</v>
      </c>
    </row>
    <row r="2600">
      <c r="Z2600" s="5">
        <v>2598.0</v>
      </c>
      <c r="AA2600" s="5">
        <v>104779.0</v>
      </c>
    </row>
    <row r="2601">
      <c r="Z2601" s="5">
        <v>2599.0</v>
      </c>
      <c r="AA2601" s="5">
        <v>104779.0</v>
      </c>
    </row>
    <row r="2602">
      <c r="Z2602" s="5">
        <v>2600.0</v>
      </c>
      <c r="AA2602" s="5">
        <v>104779.0</v>
      </c>
    </row>
    <row r="2603">
      <c r="Z2603" s="5">
        <v>2601.0</v>
      </c>
      <c r="AA2603" s="5">
        <v>104779.0</v>
      </c>
    </row>
    <row r="2604">
      <c r="Z2604" s="5">
        <v>2602.0</v>
      </c>
      <c r="AA2604" s="5">
        <v>104779.0</v>
      </c>
    </row>
    <row r="2605">
      <c r="Z2605" s="5">
        <v>2603.0</v>
      </c>
      <c r="AA2605" s="5">
        <v>104169.0</v>
      </c>
    </row>
    <row r="2606">
      <c r="Z2606" s="5">
        <v>2604.0</v>
      </c>
      <c r="AA2606" s="5">
        <v>99737.0</v>
      </c>
    </row>
    <row r="2607">
      <c r="Z2607" s="5">
        <v>2605.0</v>
      </c>
      <c r="AA2607" s="5">
        <v>98088.0</v>
      </c>
    </row>
    <row r="2608">
      <c r="Z2608" s="5">
        <v>2606.0</v>
      </c>
      <c r="AA2608" s="5">
        <v>96770.0</v>
      </c>
    </row>
    <row r="2609">
      <c r="Z2609" s="5">
        <v>2607.0</v>
      </c>
      <c r="AA2609" s="5">
        <v>95588.0</v>
      </c>
    </row>
    <row r="2610">
      <c r="Z2610" s="5">
        <v>2608.0</v>
      </c>
      <c r="AA2610" s="5">
        <v>94518.0</v>
      </c>
    </row>
    <row r="2611">
      <c r="Z2611" s="5">
        <v>2609.0</v>
      </c>
      <c r="AA2611" s="5">
        <v>93315.0</v>
      </c>
    </row>
    <row r="2612">
      <c r="Z2612" s="5">
        <v>2610.0</v>
      </c>
      <c r="AA2612" s="5">
        <v>93175.0</v>
      </c>
    </row>
    <row r="2613">
      <c r="Z2613" s="5">
        <v>2611.0</v>
      </c>
      <c r="AA2613" s="5">
        <v>92020.0</v>
      </c>
    </row>
    <row r="2614">
      <c r="Z2614" s="5">
        <v>2612.0</v>
      </c>
      <c r="AA2614" s="5">
        <v>91979.0</v>
      </c>
    </row>
    <row r="2615">
      <c r="Z2615" s="5">
        <v>2613.0</v>
      </c>
      <c r="AA2615" s="5">
        <v>91933.0</v>
      </c>
    </row>
    <row r="2616">
      <c r="Z2616" s="5">
        <v>2614.0</v>
      </c>
      <c r="AA2616" s="5">
        <v>91638.0</v>
      </c>
    </row>
    <row r="2617">
      <c r="Z2617" s="5">
        <v>2615.0</v>
      </c>
      <c r="AA2617" s="5">
        <v>91526.0</v>
      </c>
    </row>
    <row r="2618">
      <c r="Z2618" s="5">
        <v>2616.0</v>
      </c>
      <c r="AA2618" s="5">
        <v>91055.0</v>
      </c>
    </row>
    <row r="2619">
      <c r="Z2619" s="5">
        <v>2617.0</v>
      </c>
      <c r="AA2619" s="5">
        <v>90516.0</v>
      </c>
    </row>
    <row r="2620">
      <c r="Z2620" s="5">
        <v>2618.0</v>
      </c>
      <c r="AA2620" s="5">
        <v>89220.0</v>
      </c>
    </row>
    <row r="2621">
      <c r="Z2621" s="5">
        <v>2619.0</v>
      </c>
      <c r="AA2621" s="5">
        <v>88758.0</v>
      </c>
    </row>
    <row r="2622">
      <c r="Z2622" s="5">
        <v>2620.0</v>
      </c>
      <c r="AA2622" s="5">
        <v>86695.0</v>
      </c>
    </row>
    <row r="2623">
      <c r="Z2623" s="5">
        <v>2621.0</v>
      </c>
      <c r="AA2623" s="5">
        <v>86020.0</v>
      </c>
    </row>
    <row r="2624">
      <c r="Z2624" s="5">
        <v>2622.0</v>
      </c>
      <c r="AA2624" s="5">
        <v>85872.0</v>
      </c>
    </row>
    <row r="2625">
      <c r="Z2625" s="5">
        <v>2623.0</v>
      </c>
      <c r="AA2625" s="5">
        <v>85660.0</v>
      </c>
    </row>
    <row r="2626">
      <c r="Z2626" s="5">
        <v>2624.0</v>
      </c>
      <c r="AA2626" s="5">
        <v>83869.0</v>
      </c>
    </row>
    <row r="2627">
      <c r="Z2627" s="5">
        <v>2625.0</v>
      </c>
      <c r="AA2627" s="5">
        <v>83420.0</v>
      </c>
    </row>
    <row r="2628">
      <c r="Z2628" s="5">
        <v>2626.0</v>
      </c>
      <c r="AA2628" s="5">
        <v>83126.0</v>
      </c>
    </row>
    <row r="2629">
      <c r="Z2629" s="5">
        <v>2627.0</v>
      </c>
      <c r="AA2629" s="5">
        <v>82812.0</v>
      </c>
    </row>
    <row r="2630">
      <c r="Z2630" s="5">
        <v>2628.0</v>
      </c>
      <c r="AA2630" s="5">
        <v>82741.0</v>
      </c>
    </row>
    <row r="2631">
      <c r="Z2631" s="5">
        <v>2629.0</v>
      </c>
      <c r="AA2631" s="5">
        <v>82705.0</v>
      </c>
    </row>
    <row r="2632">
      <c r="Z2632" s="5">
        <v>2630.0</v>
      </c>
      <c r="AA2632" s="5">
        <v>81790.0</v>
      </c>
    </row>
    <row r="2633">
      <c r="Z2633" s="5">
        <v>2631.0</v>
      </c>
      <c r="AA2633" s="5">
        <v>81066.0</v>
      </c>
    </row>
    <row r="2634">
      <c r="Z2634" s="5">
        <v>2632.0</v>
      </c>
      <c r="AA2634" s="5">
        <v>80169.0</v>
      </c>
    </row>
    <row r="2635">
      <c r="Z2635" s="5">
        <v>2633.0</v>
      </c>
      <c r="AA2635" s="5">
        <v>79132.0</v>
      </c>
    </row>
    <row r="2636">
      <c r="Z2636" s="5">
        <v>2634.0</v>
      </c>
      <c r="AA2636" s="5">
        <v>78852.0</v>
      </c>
    </row>
    <row r="2637">
      <c r="Z2637" s="5">
        <v>2635.0</v>
      </c>
      <c r="AA2637" s="5">
        <v>78852.0</v>
      </c>
    </row>
    <row r="2638">
      <c r="Z2638" s="5">
        <v>2636.0</v>
      </c>
      <c r="AA2638" s="5">
        <v>78852.0</v>
      </c>
    </row>
    <row r="2639">
      <c r="Z2639" s="5">
        <v>2637.0</v>
      </c>
      <c r="AA2639" s="5">
        <v>78838.0</v>
      </c>
    </row>
    <row r="2640">
      <c r="Z2640" s="5">
        <v>2638.0</v>
      </c>
      <c r="AA2640" s="5">
        <v>78805.0</v>
      </c>
    </row>
    <row r="2641">
      <c r="Z2641" s="5">
        <v>2639.0</v>
      </c>
      <c r="AA2641" s="5">
        <v>78278.0</v>
      </c>
    </row>
    <row r="2642">
      <c r="Z2642" s="5">
        <v>2640.0</v>
      </c>
      <c r="AA2642" s="5">
        <v>77522.0</v>
      </c>
    </row>
    <row r="2643">
      <c r="Z2643" s="5">
        <v>2641.0</v>
      </c>
      <c r="AA2643" s="5">
        <v>76501.0</v>
      </c>
    </row>
    <row r="2644">
      <c r="Z2644" s="5">
        <v>2642.0</v>
      </c>
      <c r="AA2644" s="5">
        <v>74133.0</v>
      </c>
    </row>
    <row r="2645">
      <c r="Z2645" s="5">
        <v>2643.0</v>
      </c>
      <c r="AA2645" s="5">
        <v>73377.0</v>
      </c>
    </row>
    <row r="2646">
      <c r="Z2646" s="5">
        <v>2644.0</v>
      </c>
      <c r="AA2646" s="5">
        <v>72913.0</v>
      </c>
    </row>
    <row r="2647">
      <c r="Z2647" s="5">
        <v>2645.0</v>
      </c>
      <c r="AA2647" s="5">
        <v>71725.0</v>
      </c>
    </row>
    <row r="2648">
      <c r="Z2648" s="5">
        <v>2646.0</v>
      </c>
      <c r="AA2648" s="5">
        <v>69763.0</v>
      </c>
    </row>
    <row r="2649">
      <c r="Z2649" s="5">
        <v>2647.0</v>
      </c>
      <c r="AA2649" s="5">
        <v>68780.0</v>
      </c>
    </row>
    <row r="2650">
      <c r="Z2650" s="5">
        <v>2648.0</v>
      </c>
      <c r="AA2650" s="5">
        <v>66230.0</v>
      </c>
    </row>
    <row r="2651">
      <c r="Z2651" s="5">
        <v>2649.0</v>
      </c>
      <c r="AA2651" s="5">
        <v>64426.0</v>
      </c>
    </row>
    <row r="2652">
      <c r="Z2652" s="5">
        <v>2650.0</v>
      </c>
      <c r="AA2652" s="5">
        <v>64088.0</v>
      </c>
    </row>
    <row r="2653">
      <c r="Z2653" s="5">
        <v>2651.0</v>
      </c>
      <c r="AA2653" s="5">
        <v>64043.0</v>
      </c>
    </row>
    <row r="2654">
      <c r="Z2654" s="5">
        <v>2652.0</v>
      </c>
      <c r="AA2654" s="5">
        <v>62961.0</v>
      </c>
    </row>
    <row r="2655">
      <c r="Z2655" s="5">
        <v>2653.0</v>
      </c>
      <c r="AA2655" s="5">
        <v>62434.0</v>
      </c>
    </row>
    <row r="2656">
      <c r="Z2656" s="5">
        <v>2654.0</v>
      </c>
      <c r="AA2656" s="5">
        <v>61614.0</v>
      </c>
    </row>
    <row r="2657">
      <c r="Z2657" s="5">
        <v>2655.0</v>
      </c>
      <c r="AA2657" s="5">
        <v>61594.0</v>
      </c>
    </row>
    <row r="2658">
      <c r="Z2658" s="5">
        <v>2656.0</v>
      </c>
      <c r="AA2658" s="5">
        <v>61172.0</v>
      </c>
    </row>
    <row r="2659">
      <c r="Z2659" s="5">
        <v>2657.0</v>
      </c>
      <c r="AA2659" s="5">
        <v>60124.0</v>
      </c>
    </row>
    <row r="2660">
      <c r="Z2660" s="5">
        <v>2658.0</v>
      </c>
      <c r="AA2660" s="5">
        <v>59917.0</v>
      </c>
    </row>
    <row r="2661">
      <c r="Z2661" s="5">
        <v>2659.0</v>
      </c>
      <c r="AA2661" s="5">
        <v>59525.0</v>
      </c>
    </row>
    <row r="2662">
      <c r="Z2662" s="5">
        <v>2660.0</v>
      </c>
      <c r="AA2662" s="5">
        <v>59338.0</v>
      </c>
    </row>
    <row r="2663">
      <c r="Z2663" s="5">
        <v>2661.0</v>
      </c>
      <c r="AA2663" s="5">
        <v>59270.0</v>
      </c>
    </row>
    <row r="2664">
      <c r="Z2664" s="5">
        <v>2662.0</v>
      </c>
      <c r="AA2664" s="5">
        <v>58626.0</v>
      </c>
    </row>
    <row r="2665">
      <c r="Z2665" s="5">
        <v>2663.0</v>
      </c>
      <c r="AA2665" s="5">
        <v>58454.0</v>
      </c>
    </row>
    <row r="2666">
      <c r="Z2666" s="5">
        <v>2664.0</v>
      </c>
      <c r="AA2666" s="5">
        <v>56856.0</v>
      </c>
    </row>
    <row r="2667">
      <c r="Z2667" s="5">
        <v>2665.0</v>
      </c>
      <c r="AA2667" s="5">
        <v>56843.0</v>
      </c>
    </row>
    <row r="2668">
      <c r="Z2668" s="5">
        <v>2666.0</v>
      </c>
      <c r="AA2668" s="5">
        <v>56206.0</v>
      </c>
    </row>
    <row r="2669">
      <c r="Z2669" s="5">
        <v>2667.0</v>
      </c>
      <c r="AA2669" s="5">
        <v>55601.0</v>
      </c>
    </row>
    <row r="2670">
      <c r="Z2670" s="5">
        <v>2668.0</v>
      </c>
      <c r="AA2670" s="5">
        <v>54991.0</v>
      </c>
    </row>
    <row r="2671">
      <c r="Z2671" s="5">
        <v>2669.0</v>
      </c>
      <c r="AA2671" s="5">
        <v>54307.0</v>
      </c>
    </row>
    <row r="2672">
      <c r="Z2672" s="5">
        <v>2670.0</v>
      </c>
      <c r="AA2672" s="5">
        <v>54032.0</v>
      </c>
    </row>
    <row r="2673">
      <c r="Z2673" s="5">
        <v>2671.0</v>
      </c>
      <c r="AA2673" s="5">
        <v>53561.0</v>
      </c>
    </row>
    <row r="2674">
      <c r="Z2674" s="5">
        <v>2672.0</v>
      </c>
      <c r="AA2674" s="5">
        <v>53393.0</v>
      </c>
    </row>
    <row r="2675">
      <c r="Z2675" s="5">
        <v>2673.0</v>
      </c>
      <c r="AA2675" s="5">
        <v>53092.0</v>
      </c>
    </row>
    <row r="2676">
      <c r="Z2676" s="5">
        <v>2674.0</v>
      </c>
      <c r="AA2676" s="5">
        <v>51505.0</v>
      </c>
    </row>
    <row r="2677">
      <c r="Z2677" s="5">
        <v>2675.0</v>
      </c>
      <c r="AA2677" s="5">
        <v>50057.0</v>
      </c>
    </row>
    <row r="2678">
      <c r="Z2678" s="5">
        <v>2676.0</v>
      </c>
      <c r="AA2678" s="5">
        <v>49832.0</v>
      </c>
    </row>
    <row r="2679">
      <c r="Z2679" s="5">
        <v>2677.0</v>
      </c>
      <c r="AA2679" s="5">
        <v>47809.0</v>
      </c>
    </row>
    <row r="2680">
      <c r="Z2680" s="5">
        <v>2678.0</v>
      </c>
      <c r="AA2680" s="5">
        <v>45167.0</v>
      </c>
    </row>
    <row r="2681">
      <c r="Z2681" s="5">
        <v>2679.0</v>
      </c>
      <c r="AA2681" s="5">
        <v>44132.0</v>
      </c>
    </row>
    <row r="2682">
      <c r="Z2682" s="5">
        <v>2680.0</v>
      </c>
      <c r="AA2682" s="5">
        <v>44039.0</v>
      </c>
    </row>
    <row r="2683">
      <c r="Z2683" s="5">
        <v>2681.0</v>
      </c>
      <c r="AA2683" s="5">
        <v>43794.0</v>
      </c>
    </row>
    <row r="2684">
      <c r="Z2684" s="5">
        <v>2682.0</v>
      </c>
      <c r="AA2684" s="5">
        <v>43712.0</v>
      </c>
    </row>
    <row r="2685">
      <c r="Z2685" s="5">
        <v>2683.0</v>
      </c>
      <c r="AA2685" s="5">
        <v>42881.0</v>
      </c>
    </row>
    <row r="2686">
      <c r="Z2686" s="5">
        <v>2684.0</v>
      </c>
      <c r="AA2686" s="5">
        <v>3.1415926E7</v>
      </c>
    </row>
    <row r="2687">
      <c r="Z2687" s="5">
        <v>2685.0</v>
      </c>
      <c r="AA2687" s="5">
        <v>39385.0</v>
      </c>
    </row>
    <row r="2688">
      <c r="Z2688" s="5">
        <v>2686.0</v>
      </c>
      <c r="AA2688" s="5">
        <v>37499.0</v>
      </c>
    </row>
    <row r="2689">
      <c r="Z2689" s="5">
        <v>2687.0</v>
      </c>
      <c r="AA2689" s="5">
        <v>37042.0</v>
      </c>
    </row>
    <row r="2690">
      <c r="Z2690" s="5">
        <v>2688.0</v>
      </c>
      <c r="AA2690" s="5">
        <v>36608.0</v>
      </c>
    </row>
    <row r="2691">
      <c r="Z2691" s="5">
        <v>2689.0</v>
      </c>
      <c r="AA2691" s="5">
        <v>36608.0</v>
      </c>
    </row>
    <row r="2692">
      <c r="Z2692" s="5">
        <v>2690.0</v>
      </c>
      <c r="AA2692" s="5">
        <v>36339.0</v>
      </c>
    </row>
    <row r="2693">
      <c r="Z2693" s="5">
        <v>2691.0</v>
      </c>
      <c r="AA2693" s="5">
        <v>36339.0</v>
      </c>
    </row>
    <row r="2694">
      <c r="Z2694" s="5">
        <v>2692.0</v>
      </c>
      <c r="AA2694" s="5">
        <v>35982.0</v>
      </c>
    </row>
    <row r="2695">
      <c r="Z2695" s="5">
        <v>2693.0</v>
      </c>
      <c r="AA2695" s="5">
        <v>34853.0</v>
      </c>
    </row>
    <row r="2696">
      <c r="Z2696" s="5">
        <v>2694.0</v>
      </c>
      <c r="AA2696" s="5">
        <v>34721.0</v>
      </c>
    </row>
    <row r="2697">
      <c r="Z2697" s="5">
        <v>2695.0</v>
      </c>
      <c r="AA2697" s="5">
        <v>34519.0</v>
      </c>
    </row>
    <row r="2698">
      <c r="Z2698" s="5">
        <v>2696.0</v>
      </c>
      <c r="AA2698" s="5">
        <v>34067.0</v>
      </c>
    </row>
    <row r="2699">
      <c r="Z2699" s="5">
        <v>2697.0</v>
      </c>
      <c r="AA2699" s="5">
        <v>33482.0</v>
      </c>
    </row>
    <row r="2700">
      <c r="Z2700" s="5">
        <v>2698.0</v>
      </c>
      <c r="AA2700" s="5">
        <v>31774.0</v>
      </c>
    </row>
    <row r="2701">
      <c r="Z2701" s="5">
        <v>2699.0</v>
      </c>
      <c r="AA2701" s="5">
        <v>30814.0</v>
      </c>
    </row>
    <row r="2702">
      <c r="Z2702" s="5">
        <v>2700.0</v>
      </c>
      <c r="AA2702" s="5">
        <v>30182.0</v>
      </c>
    </row>
    <row r="2703">
      <c r="Z2703" s="5">
        <v>2701.0</v>
      </c>
      <c r="AA2703" s="5">
        <v>29948.0</v>
      </c>
    </row>
    <row r="2704">
      <c r="Z2704" s="5">
        <v>2702.0</v>
      </c>
      <c r="AA2704" s="5">
        <v>29358.0</v>
      </c>
    </row>
    <row r="2705">
      <c r="Z2705" s="5">
        <v>2703.0</v>
      </c>
      <c r="AA2705" s="5">
        <v>29268.0</v>
      </c>
    </row>
    <row r="2706">
      <c r="Z2706" s="5">
        <v>2704.0</v>
      </c>
      <c r="AA2706" s="5">
        <v>28720.0</v>
      </c>
    </row>
    <row r="2707">
      <c r="Z2707" s="5">
        <v>2705.0</v>
      </c>
      <c r="AA2707" s="5">
        <v>28546.0</v>
      </c>
    </row>
    <row r="2708">
      <c r="Z2708" s="5">
        <v>2706.0</v>
      </c>
      <c r="AA2708" s="5">
        <v>27072.0</v>
      </c>
    </row>
    <row r="2709">
      <c r="Z2709" s="5">
        <v>2707.0</v>
      </c>
      <c r="AA2709" s="5">
        <v>26654.0</v>
      </c>
    </row>
    <row r="2710">
      <c r="Z2710" s="5">
        <v>2708.0</v>
      </c>
      <c r="AA2710" s="5">
        <v>26516.0</v>
      </c>
    </row>
    <row r="2711">
      <c r="Z2711" s="5">
        <v>2709.0</v>
      </c>
      <c r="AA2711" s="5">
        <v>26501.0</v>
      </c>
    </row>
    <row r="2712">
      <c r="Z2712" s="5">
        <v>2710.0</v>
      </c>
      <c r="AA2712" s="5">
        <v>26062.0</v>
      </c>
    </row>
    <row r="2713">
      <c r="Z2713" s="5">
        <v>2711.0</v>
      </c>
      <c r="AA2713" s="5">
        <v>25748.0</v>
      </c>
    </row>
    <row r="2714">
      <c r="Z2714" s="5">
        <v>2712.0</v>
      </c>
      <c r="AA2714" s="5">
        <v>24606.0</v>
      </c>
    </row>
    <row r="2715">
      <c r="Z2715" s="5">
        <v>2713.0</v>
      </c>
      <c r="AA2715" s="5">
        <v>24228.0</v>
      </c>
    </row>
    <row r="2716">
      <c r="Z2716" s="5">
        <v>2714.0</v>
      </c>
      <c r="AA2716" s="5">
        <v>23757.0</v>
      </c>
    </row>
    <row r="2717">
      <c r="Z2717" s="5">
        <v>2715.0</v>
      </c>
      <c r="AA2717" s="5">
        <v>22580.0</v>
      </c>
    </row>
    <row r="2718">
      <c r="Z2718" s="5">
        <v>2716.0</v>
      </c>
      <c r="AA2718" s="5">
        <v>22580.0</v>
      </c>
    </row>
    <row r="2719">
      <c r="Z2719" s="5">
        <v>2717.0</v>
      </c>
      <c r="AA2719" s="5">
        <v>22338.0</v>
      </c>
    </row>
    <row r="2720">
      <c r="Z2720" s="5">
        <v>2718.0</v>
      </c>
      <c r="AA2720" s="5">
        <v>22174.0</v>
      </c>
    </row>
    <row r="2721">
      <c r="Z2721" s="5">
        <v>2719.0</v>
      </c>
      <c r="AA2721" s="5">
        <v>19148.0</v>
      </c>
    </row>
    <row r="2722">
      <c r="Z2722" s="5">
        <v>2720.0</v>
      </c>
      <c r="AA2722" s="5">
        <v>18704.0</v>
      </c>
    </row>
    <row r="2723">
      <c r="Z2723" s="5">
        <v>2721.0</v>
      </c>
      <c r="AA2723" s="5">
        <v>15451.0</v>
      </c>
    </row>
    <row r="2724">
      <c r="Z2724" s="5">
        <v>2722.0</v>
      </c>
      <c r="AA2724" s="5">
        <v>15157.0</v>
      </c>
    </row>
    <row r="2725">
      <c r="Z2725" s="5">
        <v>2723.0</v>
      </c>
      <c r="AA2725" s="5">
        <v>11056.0</v>
      </c>
    </row>
    <row r="2726">
      <c r="Z2726" s="5">
        <v>2724.0</v>
      </c>
      <c r="AA2726" s="5">
        <v>10937.0</v>
      </c>
    </row>
    <row r="2727">
      <c r="Z2727" s="5">
        <v>2725.0</v>
      </c>
      <c r="AA2727" s="5">
        <v>9987.0</v>
      </c>
    </row>
    <row r="2728">
      <c r="Z2728" s="5">
        <v>2726.0</v>
      </c>
      <c r="AA2728" s="5">
        <v>9116.0</v>
      </c>
    </row>
    <row r="2729">
      <c r="Z2729" s="5">
        <v>2727.0</v>
      </c>
      <c r="AA2729" s="5">
        <v>7628.0</v>
      </c>
    </row>
    <row r="2730">
      <c r="Z2730" s="5">
        <v>2728.0</v>
      </c>
      <c r="AA2730" s="5">
        <v>6150.0</v>
      </c>
    </row>
    <row r="2731">
      <c r="Z2731" s="5">
        <v>2729.0</v>
      </c>
      <c r="AA2731" s="5">
        <v>5703.0</v>
      </c>
    </row>
    <row r="2732">
      <c r="Z2732" s="5">
        <v>2730.0</v>
      </c>
      <c r="AA2732" s="5">
        <v>5703.0</v>
      </c>
    </row>
    <row r="2733">
      <c r="Z2733" s="5">
        <v>2731.0</v>
      </c>
      <c r="AA2733" s="5">
        <v>5660.0</v>
      </c>
    </row>
    <row r="2734">
      <c r="Z2734" s="5">
        <v>2732.0</v>
      </c>
      <c r="AA2734" s="5">
        <v>5455.0</v>
      </c>
    </row>
    <row r="2735">
      <c r="Z2735" s="5">
        <v>2733.0</v>
      </c>
      <c r="AA2735" s="5">
        <v>5419.0</v>
      </c>
    </row>
    <row r="2736">
      <c r="Z2736" s="5">
        <v>2734.0</v>
      </c>
      <c r="AA2736" s="5">
        <v>4974.0</v>
      </c>
    </row>
    <row r="2737">
      <c r="Z2737" s="5">
        <v>2735.0</v>
      </c>
      <c r="AA2737" s="5">
        <v>4920.0</v>
      </c>
    </row>
    <row r="2738">
      <c r="Z2738" s="5">
        <v>2736.0</v>
      </c>
      <c r="AA2738" s="5">
        <v>4840.0</v>
      </c>
    </row>
    <row r="2739">
      <c r="Z2739" s="5">
        <v>2737.0</v>
      </c>
      <c r="AA2739" s="5">
        <v>4667.0</v>
      </c>
    </row>
    <row r="2740">
      <c r="Z2740" s="5">
        <v>2738.0</v>
      </c>
      <c r="AA2740" s="5">
        <v>4262.0</v>
      </c>
    </row>
    <row r="2741">
      <c r="Z2741" s="5">
        <v>2739.0</v>
      </c>
      <c r="AA2741" s="5">
        <v>4258.0</v>
      </c>
    </row>
    <row r="2742">
      <c r="Z2742" s="5">
        <v>2740.0</v>
      </c>
      <c r="AA2742" s="5">
        <v>3887.0</v>
      </c>
    </row>
    <row r="2743">
      <c r="Z2743" s="5">
        <v>2741.0</v>
      </c>
      <c r="AA2743" s="5">
        <v>3773.0</v>
      </c>
    </row>
    <row r="2744">
      <c r="Z2744" s="5">
        <v>2742.0</v>
      </c>
      <c r="AA2744" s="5">
        <v>3105.0</v>
      </c>
    </row>
    <row r="2745">
      <c r="Z2745" s="5">
        <v>2743.0</v>
      </c>
      <c r="AA2745" s="5">
        <v>2634.0</v>
      </c>
    </row>
    <row r="2746">
      <c r="Z2746" s="5">
        <v>2744.0</v>
      </c>
      <c r="AA2746" s="5">
        <v>2445.0</v>
      </c>
    </row>
    <row r="2747">
      <c r="Z2747" s="5">
        <v>2745.0</v>
      </c>
      <c r="AA2747" s="5">
        <v>2440.0</v>
      </c>
    </row>
    <row r="2748">
      <c r="Z2748" s="5">
        <v>2746.0</v>
      </c>
      <c r="AA2748" s="5">
        <v>1995.0</v>
      </c>
    </row>
    <row r="2749">
      <c r="Z2749" s="5">
        <v>2747.0</v>
      </c>
      <c r="AA2749" s="5">
        <v>1758.0</v>
      </c>
    </row>
    <row r="2750">
      <c r="Z2750" s="5">
        <v>2748.0</v>
      </c>
      <c r="AA2750" s="5">
        <v>1612.0</v>
      </c>
    </row>
    <row r="2751">
      <c r="Z2751" s="5">
        <v>2749.0</v>
      </c>
      <c r="AA2751" s="5">
        <v>1212.0</v>
      </c>
    </row>
    <row r="2752">
      <c r="Z2752" s="5">
        <v>2750.0</v>
      </c>
      <c r="AA2752" s="5">
        <v>1203.0</v>
      </c>
    </row>
    <row r="2753">
      <c r="Z2753" s="5">
        <v>2751.0</v>
      </c>
      <c r="AA2753" s="5">
        <v>1096.0</v>
      </c>
    </row>
    <row r="2754">
      <c r="Z2754" s="5">
        <v>2752.0</v>
      </c>
      <c r="AA2754" s="5">
        <v>1037.0</v>
      </c>
    </row>
    <row r="2755">
      <c r="Z2755" s="5">
        <v>2753.0</v>
      </c>
      <c r="AA2755" s="5">
        <v>951.0</v>
      </c>
    </row>
    <row r="2756">
      <c r="Z2756" s="5">
        <v>2754.0</v>
      </c>
      <c r="AA2756" s="5">
        <v>910.0</v>
      </c>
    </row>
    <row r="2757">
      <c r="Z2757" s="5">
        <v>2755.0</v>
      </c>
      <c r="AA2757" s="5">
        <v>874.0</v>
      </c>
    </row>
    <row r="2758">
      <c r="Z2758" s="5">
        <v>2756.0</v>
      </c>
      <c r="AA2758" s="5">
        <v>866.0</v>
      </c>
    </row>
    <row r="2759">
      <c r="Z2759" s="5">
        <v>2757.0</v>
      </c>
      <c r="AA2759" s="5">
        <v>848.0</v>
      </c>
    </row>
    <row r="2760">
      <c r="Z2760" s="5">
        <v>2758.0</v>
      </c>
      <c r="AA2760" s="5">
        <v>812.0</v>
      </c>
    </row>
    <row r="2761">
      <c r="Z2761" s="5">
        <v>2759.0</v>
      </c>
      <c r="AA2761" s="5">
        <v>546.0</v>
      </c>
    </row>
    <row r="2762">
      <c r="Z2762" s="5">
        <v>2760.0</v>
      </c>
      <c r="AA2762" s="5">
        <v>388.0</v>
      </c>
    </row>
    <row r="2763">
      <c r="Z2763" s="5">
        <v>2761.0</v>
      </c>
      <c r="AA2763" s="5">
        <v>376.0</v>
      </c>
    </row>
    <row r="2764">
      <c r="Z2764" s="5">
        <v>2762.0</v>
      </c>
      <c r="AA2764" s="5">
        <v>376.0</v>
      </c>
    </row>
    <row r="2765">
      <c r="Z2765" s="5">
        <v>2763.0</v>
      </c>
      <c r="AA2765" s="5">
        <v>376.0</v>
      </c>
    </row>
    <row r="2766">
      <c r="Z2766" s="5">
        <v>2764.0</v>
      </c>
      <c r="AA2766" s="5">
        <v>376.0</v>
      </c>
    </row>
    <row r="2767">
      <c r="Z2767" s="5">
        <v>2765.0</v>
      </c>
      <c r="AA2767" s="5">
        <v>376.0</v>
      </c>
    </row>
    <row r="2768">
      <c r="Z2768" s="5">
        <v>2766.0</v>
      </c>
      <c r="AA2768" s="5">
        <v>376.0</v>
      </c>
    </row>
    <row r="2769">
      <c r="Z2769" s="5">
        <v>2767.0</v>
      </c>
      <c r="AA2769" s="5">
        <v>376.0</v>
      </c>
    </row>
    <row r="2770">
      <c r="Z2770" s="5">
        <v>2768.0</v>
      </c>
      <c r="AA2770" s="5">
        <v>376.0</v>
      </c>
    </row>
    <row r="2771">
      <c r="Z2771" s="5">
        <v>2769.0</v>
      </c>
      <c r="AA2771" s="5">
        <v>376.0</v>
      </c>
    </row>
    <row r="2772">
      <c r="Z2772" s="5">
        <v>2770.0</v>
      </c>
      <c r="AA2772" s="5">
        <v>366.0</v>
      </c>
    </row>
    <row r="2773">
      <c r="Z2773" s="5">
        <v>2771.0</v>
      </c>
      <c r="AA2773" s="5">
        <v>284.0</v>
      </c>
    </row>
    <row r="2774">
      <c r="Z2774" s="5">
        <v>2772.0</v>
      </c>
      <c r="AA2774" s="5">
        <v>280.0</v>
      </c>
    </row>
    <row r="2775">
      <c r="Z2775" s="5">
        <v>2773.0</v>
      </c>
      <c r="AA2775" s="5">
        <v>268.0</v>
      </c>
    </row>
    <row r="2776">
      <c r="Z2776" s="5">
        <v>2774.0</v>
      </c>
      <c r="AA2776" s="5">
        <v>267.0</v>
      </c>
    </row>
    <row r="2777">
      <c r="Z2777" s="5">
        <v>2775.0</v>
      </c>
      <c r="AA2777" s="5">
        <v>229.0</v>
      </c>
    </row>
    <row r="2778">
      <c r="Z2778" s="5">
        <v>2776.0</v>
      </c>
      <c r="AA2778" s="5">
        <v>194.0</v>
      </c>
    </row>
    <row r="2779">
      <c r="Z2779" s="5">
        <v>2777.0</v>
      </c>
      <c r="AA2779" s="5">
        <v>165.0</v>
      </c>
    </row>
    <row r="2780">
      <c r="Z2780" s="5">
        <v>2778.0</v>
      </c>
      <c r="AA2780" s="5">
        <v>52.0</v>
      </c>
    </row>
    <row r="2781">
      <c r="Z2781" s="5">
        <v>2779.0</v>
      </c>
      <c r="AA2781" s="5">
        <v>0.0</v>
      </c>
    </row>
    <row r="2782">
      <c r="Z2782" s="5">
        <v>2780.0</v>
      </c>
      <c r="AA2782" s="5">
        <v>0.0</v>
      </c>
    </row>
    <row r="2783">
      <c r="Z2783" s="5">
        <v>2781.0</v>
      </c>
      <c r="AA2783" s="5">
        <v>0.0</v>
      </c>
    </row>
    <row r="2784">
      <c r="Z2784" s="5">
        <v>2782.0</v>
      </c>
      <c r="AA2784" s="5">
        <v>0.0</v>
      </c>
    </row>
    <row r="2785">
      <c r="Z2785" s="5">
        <v>2783.0</v>
      </c>
      <c r="AA2785" s="5">
        <v>0.0</v>
      </c>
    </row>
    <row r="2786">
      <c r="Z2786" s="5">
        <v>2784.0</v>
      </c>
      <c r="AA2786" s="5">
        <v>0.0</v>
      </c>
    </row>
    <row r="2787">
      <c r="Z2787" s="5">
        <v>2785.0</v>
      </c>
      <c r="AA2787" s="5">
        <v>0.0</v>
      </c>
    </row>
    <row r="2788">
      <c r="Z2788" s="5">
        <v>2786.0</v>
      </c>
      <c r="AA2788" s="5">
        <v>0.0</v>
      </c>
    </row>
    <row r="2789">
      <c r="Z2789" s="5">
        <v>2787.0</v>
      </c>
      <c r="AA2789" s="5">
        <v>0.0</v>
      </c>
    </row>
    <row r="2790">
      <c r="Z2790" s="5">
        <v>2788.0</v>
      </c>
      <c r="AA2790" s="5">
        <v>0.0</v>
      </c>
    </row>
    <row r="2791">
      <c r="Z2791" s="5">
        <v>2789.0</v>
      </c>
      <c r="AA2791" s="5">
        <v>0.0</v>
      </c>
    </row>
    <row r="2792">
      <c r="Z2792" s="5">
        <v>2790.0</v>
      </c>
      <c r="AA2792" s="5">
        <v>0.0</v>
      </c>
    </row>
    <row r="2793">
      <c r="Z2793" s="5">
        <v>2791.0</v>
      </c>
      <c r="AA2793" s="5">
        <v>0.0</v>
      </c>
    </row>
    <row r="2794">
      <c r="Z2794" s="5">
        <v>2792.0</v>
      </c>
      <c r="AA2794" s="5">
        <v>0.0</v>
      </c>
    </row>
    <row r="2795">
      <c r="Z2795" s="5">
        <v>2793.0</v>
      </c>
      <c r="AA2795" s="5">
        <v>0.0</v>
      </c>
    </row>
    <row r="2796">
      <c r="Z2796" s="5">
        <v>2794.0</v>
      </c>
      <c r="AA2796" s="5">
        <v>101010.0</v>
      </c>
    </row>
    <row r="2797">
      <c r="Z2797" s="5">
        <v>2795.0</v>
      </c>
      <c r="AA2797" s="5">
        <v>0.0</v>
      </c>
    </row>
    <row r="2798">
      <c r="Z2798" s="5">
        <v>2796.0</v>
      </c>
      <c r="AA2798" s="5">
        <v>0.0</v>
      </c>
    </row>
    <row r="2799">
      <c r="Z2799" s="5">
        <v>2797.0</v>
      </c>
      <c r="AA2799" s="5">
        <v>0.0</v>
      </c>
    </row>
    <row r="2800">
      <c r="Z2800" s="5">
        <v>2798.0</v>
      </c>
      <c r="AA2800" s="5">
        <v>0.0</v>
      </c>
    </row>
    <row r="2801">
      <c r="Z2801" s="5">
        <v>2799.0</v>
      </c>
      <c r="AA2801" s="5">
        <v>0.0</v>
      </c>
    </row>
    <row r="2802">
      <c r="Z2802" s="5">
        <v>2800.0</v>
      </c>
      <c r="AA2802" s="5">
        <v>0.0</v>
      </c>
    </row>
    <row r="2803">
      <c r="Z2803" s="5">
        <v>2801.0</v>
      </c>
      <c r="AA2803" s="5">
        <v>0.0</v>
      </c>
    </row>
    <row r="2804">
      <c r="Z2804" s="5">
        <v>2802.0</v>
      </c>
      <c r="AA2804" s="5">
        <v>0.0</v>
      </c>
    </row>
    <row r="2805">
      <c r="Z2805" s="5">
        <v>2803.0</v>
      </c>
      <c r="AA2805" s="5">
        <v>0.0</v>
      </c>
    </row>
    <row r="2806">
      <c r="Z2806" s="5">
        <v>2804.0</v>
      </c>
      <c r="AA2806" s="5">
        <v>0.0</v>
      </c>
    </row>
    <row r="2807">
      <c r="Z2807" s="5">
        <v>2805.0</v>
      </c>
      <c r="AA2807" s="5">
        <v>0.0</v>
      </c>
    </row>
    <row r="2808">
      <c r="Z2808" s="5">
        <v>2806.0</v>
      </c>
      <c r="AA2808" s="5">
        <v>0.0</v>
      </c>
    </row>
    <row r="2809">
      <c r="Z2809" s="5">
        <v>2807.0</v>
      </c>
      <c r="AA2809" s="5">
        <v>0.0</v>
      </c>
    </row>
    <row r="2810">
      <c r="Z2810" s="5">
        <v>2808.0</v>
      </c>
      <c r="AA2810" s="5">
        <v>0.0</v>
      </c>
    </row>
    <row r="2811">
      <c r="Z2811" s="5">
        <v>2809.0</v>
      </c>
      <c r="AA2811" s="5">
        <v>0.0</v>
      </c>
    </row>
    <row r="2812">
      <c r="Z2812" s="5">
        <v>2810.0</v>
      </c>
      <c r="AA2812" s="5">
        <v>0.0</v>
      </c>
    </row>
    <row r="2813">
      <c r="Z2813" s="5">
        <v>2811.0</v>
      </c>
      <c r="AA2813" s="5">
        <v>0.0</v>
      </c>
    </row>
    <row r="2814">
      <c r="Z2814" s="5">
        <v>2812.0</v>
      </c>
      <c r="AA2814" s="5">
        <v>0.0</v>
      </c>
    </row>
    <row r="2815">
      <c r="Z2815" s="5">
        <v>2813.0</v>
      </c>
      <c r="AA2815" s="5">
        <v>0.0</v>
      </c>
    </row>
    <row r="2816">
      <c r="Z2816" s="5">
        <v>2814.0</v>
      </c>
      <c r="AA2816" s="5">
        <v>0.0</v>
      </c>
    </row>
    <row r="2817">
      <c r="Z2817" s="5">
        <v>2815.0</v>
      </c>
      <c r="AA2817" s="5">
        <v>0.0</v>
      </c>
    </row>
    <row r="2818">
      <c r="R2818" s="5"/>
    </row>
  </sheetData>
  <mergeCells count="3">
    <mergeCell ref="B1:O2"/>
    <mergeCell ref="Z1:AA1"/>
    <mergeCell ref="B15:O16"/>
  </mergeCells>
  <conditionalFormatting sqref="S71:S99">
    <cfRule type="expression" dxfId="0" priority="1">
      <formula>S71=$B36</formula>
    </cfRule>
  </conditionalFormatting>
  <conditionalFormatting sqref="S71:S99">
    <cfRule type="expression" dxfId="1" priority="2">
      <formula>AND(S71&lt;&gt;"", S71&lt;=$Q36)</formula>
    </cfRule>
  </conditionalFormatting>
  <conditionalFormatting sqref="C4:O7">
    <cfRule type="expression" dxfId="0" priority="3">
      <formula>C4=$B4</formula>
    </cfRule>
  </conditionalFormatting>
  <conditionalFormatting sqref="Q4 C21:O67 Q21">
    <cfRule type="expression" dxfId="0" priority="4">
      <formula>Q4=$B4</formula>
    </cfRule>
  </conditionalFormatting>
  <conditionalFormatting sqref="Q4 C21:O67 Q21">
    <cfRule type="expression" dxfId="1" priority="5">
      <formula>AND(Q4&lt;&gt;"", Q4&lt;=$Q4)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F1" s="4" t="s">
        <v>1</v>
      </c>
      <c r="G1" s="5" t="s">
        <v>5</v>
      </c>
      <c r="I1" s="5" t="s">
        <v>6</v>
      </c>
      <c r="J1" s="5" t="s">
        <v>8</v>
      </c>
    </row>
    <row r="2">
      <c r="A2" s="5" t="s">
        <v>9</v>
      </c>
      <c r="B2" s="5" t="s">
        <v>15</v>
      </c>
      <c r="D2" s="9">
        <f>IF(B2="kittens",4,IF(B2="me_at_the_zoo",5,IF(B2="trending_today",6,IF(B2="videos_worth_spreading",7,IF(B2="custom_dejavu42",21,IF(B2="custom_universallambda42",22,IF(B2="custom_universallambda42_asymmetric",23,IF(B2="instance1",24,IF(B2="instance2",25,"")))))))))</f>
        <v>23</v>
      </c>
      <c r="F2" s="21">
        <f>MAX(B5:M5)</f>
        <v>975514</v>
      </c>
      <c r="G2" s="9" t="str">
        <f t="array" ref="G2">INDEX(B4:M4,1,MATCH(MAX(B5:M5),B5:M5,0))</f>
        <v>A</v>
      </c>
      <c r="I2" s="5">
        <f>AVERAGE($B$5:$N$5)</f>
        <v>824084.7778</v>
      </c>
      <c r="J2" s="9">
        <f>MINIFS($B$5:$N$5,$B$5:$N$5,"&gt;0")</f>
        <v>141391</v>
      </c>
    </row>
    <row r="4">
      <c r="A4" s="12" t="s">
        <v>36</v>
      </c>
      <c r="B4" s="12" t="s">
        <v>16</v>
      </c>
      <c r="C4" s="26" t="s">
        <v>17</v>
      </c>
      <c r="D4" s="12" t="s">
        <v>18</v>
      </c>
      <c r="E4" s="26" t="s">
        <v>19</v>
      </c>
      <c r="F4" s="12" t="s">
        <v>20</v>
      </c>
      <c r="G4" s="26" t="s">
        <v>21</v>
      </c>
      <c r="H4" s="12" t="s">
        <v>22</v>
      </c>
      <c r="I4" s="26" t="s">
        <v>23</v>
      </c>
      <c r="J4" s="12" t="s">
        <v>24</v>
      </c>
      <c r="K4" s="26" t="s">
        <v>25</v>
      </c>
      <c r="L4" s="12" t="s">
        <v>26</v>
      </c>
      <c r="M4" s="26" t="s">
        <v>27</v>
      </c>
      <c r="N4" s="26" t="s">
        <v>28</v>
      </c>
    </row>
    <row r="5">
      <c r="A5" s="32" t="s">
        <v>12</v>
      </c>
      <c r="B5" s="34">
        <f t="array" ref="B5">INDIRECT("Resultats!C"&amp;D2)</f>
        <v>975514</v>
      </c>
      <c r="C5" s="35">
        <f t="array" ref="C5">INDIRECT("Resultats!D"&amp;D2)</f>
        <v>459625</v>
      </c>
      <c r="D5" s="34">
        <f t="array" ref="D5">INDIRECT("Resultats!E"&amp;D2)</f>
        <v>975017</v>
      </c>
      <c r="E5" s="34">
        <f t="array" ref="E5">INDIRECT("Resultats!F"&amp;D2)</f>
        <v>974865</v>
      </c>
      <c r="F5" s="34">
        <f t="array" ref="F5">INDIRECT("Resultats!G"&amp;D2)</f>
        <v>971833</v>
      </c>
      <c r="G5" s="34">
        <f t="array" ref="G5">INDIRECT("Resultats!H"&amp;D2)</f>
        <v>971786</v>
      </c>
      <c r="H5" s="34">
        <f t="array" ref="H5">INDIRECT("Resultats!I"&amp;D2)</f>
        <v>971867</v>
      </c>
      <c r="I5" s="34" t="str">
        <f t="array" ref="I5">INDIRECT("Resultats!J"&amp;D2)</f>
        <v/>
      </c>
      <c r="J5" s="34" t="str">
        <f t="array" ref="J5">INDIRECT("Resultats!K"&amp;D2)</f>
        <v/>
      </c>
      <c r="K5" s="34">
        <f t="array" ref="K5">INDIRECT("Resultats!L"&amp;D2)</f>
        <v>141391</v>
      </c>
      <c r="L5" s="34">
        <f t="array" ref="L5">INDIRECT("Resultats!M"&amp;D2)</f>
        <v>974865</v>
      </c>
      <c r="M5" s="34" t="str">
        <f t="array" ref="M5">INDIRECT("Resultats!N"&amp;D2)</f>
        <v/>
      </c>
      <c r="N5" s="34" t="str">
        <f t="array" ref="N5">INDIRECT("Resultats!O"&amp;D2)</f>
        <v/>
      </c>
    </row>
    <row r="6">
      <c r="A6" s="37" t="s">
        <v>38</v>
      </c>
      <c r="B6" s="38">
        <f t="shared" ref="B6:L6" si="1">IF(B$5="","",RANK(B$5,$B$5:$M$5,0))</f>
        <v>1</v>
      </c>
      <c r="C6" s="38">
        <f t="shared" si="1"/>
        <v>8</v>
      </c>
      <c r="D6" s="38">
        <f t="shared" si="1"/>
        <v>2</v>
      </c>
      <c r="E6" s="38">
        <f t="shared" si="1"/>
        <v>3</v>
      </c>
      <c r="F6" s="38">
        <f t="shared" si="1"/>
        <v>6</v>
      </c>
      <c r="G6" s="38">
        <f t="shared" si="1"/>
        <v>7</v>
      </c>
      <c r="H6" s="38">
        <f t="shared" si="1"/>
        <v>5</v>
      </c>
      <c r="I6" s="38" t="str">
        <f t="shared" si="1"/>
        <v/>
      </c>
      <c r="J6" s="38" t="str">
        <f t="shared" si="1"/>
        <v/>
      </c>
      <c r="K6" s="38">
        <f t="shared" si="1"/>
        <v>9</v>
      </c>
      <c r="L6" s="38">
        <f t="shared" si="1"/>
        <v>3</v>
      </c>
      <c r="M6" s="39"/>
      <c r="N6" s="39"/>
    </row>
    <row r="7">
      <c r="A7" s="40" t="s">
        <v>39</v>
      </c>
      <c r="B7" s="41">
        <f t="shared" ref="B7:N7" si="2">IF(B$5="","",B5-$F$2)</f>
        <v>0</v>
      </c>
      <c r="C7" s="41">
        <f t="shared" si="2"/>
        <v>-515889</v>
      </c>
      <c r="D7" s="41">
        <f t="shared" si="2"/>
        <v>-497</v>
      </c>
      <c r="E7" s="41">
        <f t="shared" si="2"/>
        <v>-649</v>
      </c>
      <c r="F7" s="41">
        <f t="shared" si="2"/>
        <v>-3681</v>
      </c>
      <c r="G7" s="41">
        <f t="shared" si="2"/>
        <v>-3728</v>
      </c>
      <c r="H7" s="41">
        <f t="shared" si="2"/>
        <v>-3647</v>
      </c>
      <c r="I7" s="41" t="str">
        <f t="shared" si="2"/>
        <v/>
      </c>
      <c r="J7" s="41" t="str">
        <f t="shared" si="2"/>
        <v/>
      </c>
      <c r="K7" s="41">
        <f t="shared" si="2"/>
        <v>-834123</v>
      </c>
      <c r="L7" s="41">
        <f t="shared" si="2"/>
        <v>-649</v>
      </c>
      <c r="M7" s="41" t="str">
        <f t="shared" si="2"/>
        <v/>
      </c>
      <c r="N7" s="41" t="str">
        <f t="shared" si="2"/>
        <v/>
      </c>
    </row>
    <row r="8">
      <c r="A8" s="42" t="s">
        <v>40</v>
      </c>
      <c r="B8" s="43">
        <f t="shared" ref="B8:N8" si="3">IF(B$5="","",B$5/$F$2)</f>
        <v>1</v>
      </c>
      <c r="C8" s="43">
        <f t="shared" si="3"/>
        <v>0.4711618695</v>
      </c>
      <c r="D8" s="43">
        <f t="shared" si="3"/>
        <v>0.999490525</v>
      </c>
      <c r="E8" s="43">
        <f t="shared" si="3"/>
        <v>0.9993347097</v>
      </c>
      <c r="F8" s="43">
        <f t="shared" si="3"/>
        <v>0.9962266046</v>
      </c>
      <c r="G8" s="43">
        <f t="shared" si="3"/>
        <v>0.9961784249</v>
      </c>
      <c r="H8" s="43">
        <f t="shared" si="3"/>
        <v>0.9962614581</v>
      </c>
      <c r="I8" s="43" t="str">
        <f t="shared" si="3"/>
        <v/>
      </c>
      <c r="J8" s="43" t="str">
        <f t="shared" si="3"/>
        <v/>
      </c>
      <c r="K8" s="43">
        <f t="shared" si="3"/>
        <v>0.1449400009</v>
      </c>
      <c r="L8" s="43">
        <f t="shared" si="3"/>
        <v>0.9993347097</v>
      </c>
      <c r="M8" s="43" t="str">
        <f t="shared" si="3"/>
        <v/>
      </c>
      <c r="N8" s="43" t="str">
        <f t="shared" si="3"/>
        <v/>
      </c>
    </row>
    <row r="9">
      <c r="A9" s="44" t="s">
        <v>41</v>
      </c>
      <c r="B9" s="45">
        <f t="shared" ref="B9:N9" si="4">IF(B$5="","",(B$5-$I$2)/STDEV($B$5:$N$5))</f>
        <v>0.4927403628</v>
      </c>
      <c r="C9" s="45">
        <f t="shared" si="4"/>
        <v>-1.185927264</v>
      </c>
      <c r="D9" s="45">
        <f t="shared" si="4"/>
        <v>0.4911231587</v>
      </c>
      <c r="E9" s="45">
        <f t="shared" si="4"/>
        <v>0.4906285611</v>
      </c>
      <c r="F9" s="45">
        <f t="shared" si="4"/>
        <v>0.4807626398</v>
      </c>
      <c r="G9" s="45">
        <f t="shared" si="4"/>
        <v>0.480609705</v>
      </c>
      <c r="H9" s="45">
        <f t="shared" si="4"/>
        <v>0.4808732735</v>
      </c>
      <c r="I9" s="45" t="str">
        <f t="shared" si="4"/>
        <v/>
      </c>
      <c r="J9" s="45" t="str">
        <f t="shared" si="4"/>
        <v/>
      </c>
      <c r="K9" s="45">
        <f t="shared" si="4"/>
        <v>-2.221438998</v>
      </c>
      <c r="L9" s="45">
        <f t="shared" si="4"/>
        <v>0.4906285611</v>
      </c>
      <c r="M9" s="45" t="str">
        <f t="shared" si="4"/>
        <v/>
      </c>
      <c r="N9" s="45" t="str">
        <f t="shared" si="4"/>
        <v/>
      </c>
    </row>
    <row r="10">
      <c r="A10" s="46" t="s">
        <v>42</v>
      </c>
      <c r="B10" s="47">
        <f t="shared" ref="B10:N10" si="5">IF(B$5="","",B$5/$I$2-1)</f>
        <v>0.1837544222</v>
      </c>
      <c r="C10" s="47">
        <f t="shared" si="5"/>
        <v>-0.4422600533</v>
      </c>
      <c r="D10" s="47">
        <f t="shared" si="5"/>
        <v>0.183151329</v>
      </c>
      <c r="E10" s="47">
        <f t="shared" si="5"/>
        <v>0.1829668819</v>
      </c>
      <c r="F10" s="47">
        <f t="shared" si="5"/>
        <v>0.1792876488</v>
      </c>
      <c r="G10" s="47">
        <f t="shared" si="5"/>
        <v>0.1792306158</v>
      </c>
      <c r="H10" s="47">
        <f t="shared" si="5"/>
        <v>0.1793289067</v>
      </c>
      <c r="I10" s="47" t="str">
        <f t="shared" si="5"/>
        <v/>
      </c>
      <c r="J10" s="47" t="str">
        <f t="shared" si="5"/>
        <v/>
      </c>
      <c r="K10" s="47">
        <f t="shared" si="5"/>
        <v>-0.828426633</v>
      </c>
      <c r="L10" s="47">
        <f t="shared" si="5"/>
        <v>0.1829668819</v>
      </c>
      <c r="M10" s="47" t="str">
        <f t="shared" si="5"/>
        <v/>
      </c>
      <c r="N10" s="47" t="str">
        <f t="shared" si="5"/>
        <v/>
      </c>
    </row>
    <row r="11">
      <c r="A11" s="48" t="s">
        <v>43</v>
      </c>
      <c r="B11" s="49">
        <f t="shared" ref="B11:N11" si="6">IF(B$5="","",B$5/MEDIAN($B$5:$N$5))</f>
        <v>1.003752571</v>
      </c>
      <c r="C11" s="49">
        <f t="shared" si="6"/>
        <v>0.4729299379</v>
      </c>
      <c r="D11" s="49">
        <f t="shared" si="6"/>
        <v>1.003241184</v>
      </c>
      <c r="E11" s="49">
        <f t="shared" si="6"/>
        <v>1.003084784</v>
      </c>
      <c r="F11" s="49">
        <f t="shared" si="6"/>
        <v>0.9999650158</v>
      </c>
      <c r="G11" s="49">
        <f t="shared" si="6"/>
        <v>0.9999166553</v>
      </c>
      <c r="H11" s="49">
        <f t="shared" si="6"/>
        <v>1</v>
      </c>
      <c r="I11" s="49" t="str">
        <f t="shared" si="6"/>
        <v/>
      </c>
      <c r="J11" s="49" t="str">
        <f t="shared" si="6"/>
        <v/>
      </c>
      <c r="K11" s="49">
        <f t="shared" si="6"/>
        <v>0.1454838985</v>
      </c>
      <c r="L11" s="49">
        <f t="shared" si="6"/>
        <v>1.003084784</v>
      </c>
      <c r="M11" s="49" t="str">
        <f t="shared" si="6"/>
        <v/>
      </c>
      <c r="N11" s="49" t="str">
        <f t="shared" si="6"/>
        <v/>
      </c>
    </row>
    <row r="12">
      <c r="A12" s="51" t="s">
        <v>44</v>
      </c>
      <c r="B12" s="53">
        <f t="shared" ref="B12:N12" si="7">IF(B5="","",(B5-$J$2)/($F$2-$J$2))</f>
        <v>1</v>
      </c>
      <c r="C12" s="53">
        <f t="shared" si="7"/>
        <v>0.3815192723</v>
      </c>
      <c r="D12" s="53">
        <f t="shared" si="7"/>
        <v>0.9994041646</v>
      </c>
      <c r="E12" s="53">
        <f t="shared" si="7"/>
        <v>0.9992219373</v>
      </c>
      <c r="F12" s="53">
        <f t="shared" si="7"/>
        <v>0.9955869818</v>
      </c>
      <c r="G12" s="53">
        <f t="shared" si="7"/>
        <v>0.9955306352</v>
      </c>
      <c r="H12" s="53">
        <f t="shared" si="7"/>
        <v>0.9956277432</v>
      </c>
      <c r="I12" s="53" t="str">
        <f t="shared" si="7"/>
        <v/>
      </c>
      <c r="J12" s="53" t="str">
        <f t="shared" si="7"/>
        <v/>
      </c>
      <c r="K12" s="53">
        <f t="shared" si="7"/>
        <v>0</v>
      </c>
      <c r="L12" s="53">
        <f t="shared" si="7"/>
        <v>0.9992219373</v>
      </c>
      <c r="M12" s="53" t="str">
        <f t="shared" si="7"/>
        <v/>
      </c>
      <c r="N12" s="53" t="str">
        <f t="shared" si="7"/>
        <v/>
      </c>
    </row>
    <row r="18">
      <c r="B18" s="56"/>
    </row>
    <row r="19">
      <c r="B19" s="56"/>
    </row>
    <row r="20">
      <c r="B20" s="56"/>
    </row>
    <row r="21">
      <c r="B21" s="56"/>
    </row>
  </sheetData>
  <mergeCells count="1">
    <mergeCell ref="B2:C2"/>
  </mergeCells>
  <dataValidations>
    <dataValidation type="list" allowBlank="1" showErrorMessage="1" sqref="B2">
      <formula1>"kittens,me_at_the_zoo,trending_today,videos_worth_spreading,custom_dejavu42,custom_universallambda42,custom_universallambda42_asymmetric,instance1,instance2"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14" width="8.5"/>
  </cols>
  <sheetData>
    <row r="1">
      <c r="A1" s="2" t="s">
        <v>2</v>
      </c>
      <c r="P1" s="6" t="s">
        <v>7</v>
      </c>
      <c r="Q1" s="7"/>
      <c r="S1" s="3" t="s">
        <v>10</v>
      </c>
      <c r="AH1" s="8"/>
      <c r="AI1" s="10"/>
    </row>
    <row r="2">
      <c r="P2" s="12" t="s">
        <v>5</v>
      </c>
      <c r="Q2" s="12" t="s">
        <v>12</v>
      </c>
      <c r="AF2" s="9">
        <f>COUNTA(T3:AF3)</f>
        <v>13</v>
      </c>
      <c r="AH2" s="8"/>
      <c r="AI2" s="10"/>
    </row>
    <row r="3">
      <c r="A3" s="3" t="s">
        <v>29</v>
      </c>
      <c r="P3" s="8" t="str">
        <f t="array" ref="P3:Q15">(CHOOSECOLS(SORT(TRANSPOSE(CHOOSEROWS(B5:N7,1,3,2)),2,TRUE),1,3))</f>
        <v>K</v>
      </c>
      <c r="Q3" s="10">
        <v>2656181.0</v>
      </c>
      <c r="S3" s="12" t="s">
        <v>5</v>
      </c>
      <c r="T3" s="13" t="s">
        <v>16</v>
      </c>
      <c r="U3" s="13" t="s">
        <v>17</v>
      </c>
      <c r="V3" s="13" t="s">
        <v>18</v>
      </c>
      <c r="W3" s="13" t="s">
        <v>19</v>
      </c>
      <c r="X3" s="13" t="s">
        <v>20</v>
      </c>
      <c r="Y3" s="13" t="s">
        <v>21</v>
      </c>
      <c r="Z3" s="13" t="s">
        <v>22</v>
      </c>
      <c r="AA3" s="13" t="s">
        <v>23</v>
      </c>
      <c r="AB3" s="13" t="s">
        <v>24</v>
      </c>
      <c r="AC3" s="13" t="s">
        <v>25</v>
      </c>
      <c r="AD3" s="13" t="s">
        <v>26</v>
      </c>
      <c r="AE3" s="13" t="s">
        <v>27</v>
      </c>
      <c r="AF3" s="13" t="s">
        <v>28</v>
      </c>
      <c r="AH3" s="8"/>
      <c r="AI3" s="10"/>
    </row>
    <row r="4">
      <c r="N4" s="9">
        <f>COUNTA(B5:N5)</f>
        <v>13</v>
      </c>
      <c r="P4" s="8" t="s">
        <v>18</v>
      </c>
      <c r="Q4" s="10">
        <v>2644373.0</v>
      </c>
      <c r="S4" s="15" t="s">
        <v>32</v>
      </c>
      <c r="T4" s="28">
        <f>IF(Resultats!C4="","",Resultats!C4/AVERAGE(Resultats!$C4:Resultats!$O4))</f>
        <v>1.213702715</v>
      </c>
      <c r="U4" s="28">
        <f>IF(Resultats!D4="","",Resultats!D4/AVERAGE(Resultats!$C4:Resultats!$O4))</f>
        <v>0.6023315268</v>
      </c>
      <c r="V4" s="28">
        <f>IF(Resultats!E4="","",Resultats!E4/AVERAGE(Resultats!$C4:Resultats!$O4))</f>
        <v>1.212681955</v>
      </c>
      <c r="W4" s="28">
        <f>IF(Resultats!F4="","",Resultats!F4/AVERAGE(Resultats!$C4:Resultats!$O4))</f>
        <v>1.213179279</v>
      </c>
      <c r="X4" s="28">
        <f>IF(Resultats!G4="","",Resultats!G4/AVERAGE(Resultats!$C4:Resultats!$O4))</f>
        <v>1.148275555</v>
      </c>
      <c r="Y4" s="28">
        <f>IF(Resultats!H4="","",Resultats!H4/AVERAGE(Resultats!$C4:Resultats!$O4))</f>
        <v>1.144311208</v>
      </c>
      <c r="Z4" s="28">
        <f>IF(Resultats!I4="","",Resultats!I4/AVERAGE(Resultats!$C4:Resultats!$O4))</f>
        <v>1.019434269</v>
      </c>
      <c r="AA4" s="28" t="str">
        <f>IF(Resultats!J4="","",Resultats!J4/AVERAGE(Resultats!$C4:Resultats!$O4))</f>
        <v/>
      </c>
      <c r="AB4" s="28" t="str">
        <f>IF(Resultats!K4="","",Resultats!K4/AVERAGE(Resultats!$C4:Resultats!$O4))</f>
        <v/>
      </c>
      <c r="AC4" s="28">
        <f>IF(Resultats!L4="","",Resultats!L4/AVERAGE(Resultats!$C4:Resultats!$O4))</f>
        <v>0.2293861526</v>
      </c>
      <c r="AD4" s="28">
        <f>IF(Resultats!M4="","",Resultats!M4/AVERAGE(Resultats!$C4:Resultats!$O4))</f>
        <v>1.21669734</v>
      </c>
      <c r="AE4" s="28" t="str">
        <f>IF(Resultats!N4="","",Resultats!N4/AVERAGE(Resultats!$C4:Resultats!$O4))</f>
        <v/>
      </c>
      <c r="AF4" s="28" t="str">
        <f>IF(Resultats!O4="","",Resultats!O4/AVERAGE(Resultats!$C4:Resultats!$O4))</f>
        <v/>
      </c>
      <c r="AH4" s="8"/>
      <c r="AI4" s="10"/>
    </row>
    <row r="5">
      <c r="A5" s="12" t="s">
        <v>5</v>
      </c>
      <c r="B5" s="12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22</v>
      </c>
      <c r="I5" s="12" t="s">
        <v>23</v>
      </c>
      <c r="J5" s="12" t="s">
        <v>24</v>
      </c>
      <c r="K5" s="12" t="s">
        <v>25</v>
      </c>
      <c r="L5" s="12" t="s">
        <v>26</v>
      </c>
      <c r="M5" s="12" t="s">
        <v>27</v>
      </c>
      <c r="N5" s="12" t="s">
        <v>28</v>
      </c>
      <c r="P5" s="8" t="s">
        <v>16</v>
      </c>
      <c r="Q5" s="10">
        <v>2642025.0</v>
      </c>
      <c r="S5" s="15" t="s">
        <v>33</v>
      </c>
      <c r="T5" s="28">
        <f>IF(Resultats!C5="","",Resultats!C5/AVERAGE(Resultats!$C5:Resultats!$O5))</f>
        <v>1.061883343</v>
      </c>
      <c r="U5" s="28">
        <f>IF(Resultats!D5="","",Resultats!D5/AVERAGE(Resultats!$C5:Resultats!$O5))</f>
        <v>0.6308649888</v>
      </c>
      <c r="V5" s="28">
        <f>IF(Resultats!E5="","",Resultats!E5/AVERAGE(Resultats!$C5:Resultats!$O5))</f>
        <v>1.070683134</v>
      </c>
      <c r="W5" s="28">
        <f>IF(Resultats!F5="","",Resultats!F5/AVERAGE(Resultats!$C5:Resultats!$O5))</f>
        <v>1.061883343</v>
      </c>
      <c r="X5" s="28">
        <f>IF(Resultats!G5="","",Resultats!G5/AVERAGE(Resultats!$C5:Resultats!$O5))</f>
        <v>1.057101893</v>
      </c>
      <c r="Y5" s="28">
        <f>IF(Resultats!H5="","",Resultats!H5/AVERAGE(Resultats!$C5:Resultats!$O5))</f>
        <v>1.039709289</v>
      </c>
      <c r="Z5" s="28">
        <f>IF(Resultats!I5="","",Resultats!I5/AVERAGE(Resultats!$C5:Resultats!$O5))</f>
        <v>1.026918335</v>
      </c>
      <c r="AA5" s="28" t="str">
        <f>IF(Resultats!J5="","",Resultats!J5/AVERAGE(Resultats!$C5:Resultats!$O5))</f>
        <v/>
      </c>
      <c r="AB5" s="28" t="str">
        <f>IF(Resultats!K5="","",Resultats!K5/AVERAGE(Resultats!$C5:Resultats!$O5))</f>
        <v/>
      </c>
      <c r="AC5" s="28">
        <f>IF(Resultats!L5="","",Resultats!L5/AVERAGE(Resultats!$C5:Resultats!$O5))</f>
        <v>0.9709856134</v>
      </c>
      <c r="AD5" s="28">
        <f>IF(Resultats!M5="","",Resultats!M5/AVERAGE(Resultats!$C5:Resultats!$O5))</f>
        <v>1.079970061</v>
      </c>
      <c r="AE5" s="28" t="str">
        <f>IF(Resultats!N5="","",Resultats!N5/AVERAGE(Resultats!$C5:Resultats!$O5))</f>
        <v/>
      </c>
      <c r="AF5" s="28" t="str">
        <f>IF(Resultats!O5="","",Resultats!O5/AVERAGE(Resultats!$C5:Resultats!$O5))</f>
        <v/>
      </c>
      <c r="AH5" s="8"/>
      <c r="AI5" s="10"/>
    </row>
    <row r="6">
      <c r="A6" s="12" t="s">
        <v>37</v>
      </c>
      <c r="B6" s="50">
        <f>Resultats!C9</f>
        <v>2642025</v>
      </c>
      <c r="C6" s="52">
        <f>Resultats!D9</f>
        <v>1161045</v>
      </c>
      <c r="D6" s="52">
        <f>Resultats!E9</f>
        <v>2644373</v>
      </c>
      <c r="E6" s="52">
        <f>Resultats!F9</f>
        <v>2639372</v>
      </c>
      <c r="F6" s="52">
        <f>Resultats!G9</f>
        <v>2578160</v>
      </c>
      <c r="G6" s="52">
        <f>Resultats!H9</f>
        <v>2565015</v>
      </c>
      <c r="H6" s="52">
        <f>Resultats!I9</f>
        <v>1551752</v>
      </c>
      <c r="I6" s="52">
        <f>Resultats!J9</f>
        <v>0</v>
      </c>
      <c r="J6" s="52">
        <f>Resultats!K9</f>
        <v>0</v>
      </c>
      <c r="K6" s="52">
        <f>Resultats!L9</f>
        <v>1694905</v>
      </c>
      <c r="L6" s="52">
        <f>Resultats!M9</f>
        <v>2656181</v>
      </c>
      <c r="M6" s="52">
        <f>Resultats!N9</f>
        <v>0</v>
      </c>
      <c r="N6" s="58">
        <f>Resultats!O9</f>
        <v>0</v>
      </c>
      <c r="P6" s="8" t="s">
        <v>19</v>
      </c>
      <c r="Q6" s="10">
        <v>2639372.0</v>
      </c>
      <c r="S6" s="15" t="s">
        <v>34</v>
      </c>
      <c r="T6" s="28">
        <f>IF(Resultats!C6="","",Resultats!C6/AVERAGE(Resultats!$C6:Resultats!$O6))</f>
        <v>1.039980253</v>
      </c>
      <c r="U6" s="28">
        <f>IF(Resultats!D6="","",Resultats!D6/AVERAGE(Resultats!$C6:Resultats!$O6))</f>
        <v>0.6803597467</v>
      </c>
      <c r="V6" s="28">
        <f>IF(Resultats!E6="","",Resultats!E6/AVERAGE(Resultats!$C6:Resultats!$O6))</f>
        <v>1.039980253</v>
      </c>
      <c r="W6" s="28">
        <f>IF(Resultats!F6="","",Resultats!F6/AVERAGE(Resultats!$C6:Resultats!$O6))</f>
        <v>1.039980253</v>
      </c>
      <c r="X6" s="28">
        <f>IF(Resultats!G6="","",Resultats!G6/AVERAGE(Resultats!$C6:Resultats!$O6))</f>
        <v>1.040007294</v>
      </c>
      <c r="Y6" s="28">
        <f>IF(Resultats!H6="","",Resultats!H6/AVERAGE(Resultats!$C6:Resultats!$O6))</f>
        <v>1.039980253</v>
      </c>
      <c r="Z6" s="28">
        <f>IF(Resultats!I6="","",Resultats!I6/AVERAGE(Resultats!$C6:Resultats!$O6))</f>
        <v>1.040032255</v>
      </c>
      <c r="AA6" s="28" t="str">
        <f>IF(Resultats!J6="","",Resultats!J6/AVERAGE(Resultats!$C6:Resultats!$O6))</f>
        <v/>
      </c>
      <c r="AB6" s="28" t="str">
        <f>IF(Resultats!K6="","",Resultats!K6/AVERAGE(Resultats!$C6:Resultats!$O6))</f>
        <v/>
      </c>
      <c r="AC6" s="28">
        <f>IF(Resultats!L6="","",Resultats!L6/AVERAGE(Resultats!$C6:Resultats!$O6))</f>
        <v>1.039628716</v>
      </c>
      <c r="AD6" s="28">
        <f>IF(Resultats!M6="","",Resultats!M6/AVERAGE(Resultats!$C6:Resultats!$O6))</f>
        <v>1.040050976</v>
      </c>
      <c r="AE6" s="28" t="str">
        <f>IF(Resultats!N6="","",Resultats!N6/AVERAGE(Resultats!$C6:Resultats!$O6))</f>
        <v/>
      </c>
      <c r="AF6" s="28" t="str">
        <f>IF(Resultats!O6="","",Resultats!O6/AVERAGE(Resultats!$C6:Resultats!$O6))</f>
        <v/>
      </c>
      <c r="AH6" s="30"/>
      <c r="AI6" s="61"/>
    </row>
    <row r="7">
      <c r="A7" s="12" t="s">
        <v>11</v>
      </c>
      <c r="B7" s="62">
        <f t="shared" ref="B7:N7" si="1">IF(B6=0, $N$4, RANK(B6,$B$6:$N$6,0))</f>
        <v>3</v>
      </c>
      <c r="C7" s="63">
        <f t="shared" si="1"/>
        <v>9</v>
      </c>
      <c r="D7" s="63">
        <f t="shared" si="1"/>
        <v>2</v>
      </c>
      <c r="E7" s="63">
        <f t="shared" si="1"/>
        <v>4</v>
      </c>
      <c r="F7" s="63">
        <f t="shared" si="1"/>
        <v>5</v>
      </c>
      <c r="G7" s="63">
        <f t="shared" si="1"/>
        <v>6</v>
      </c>
      <c r="H7" s="63">
        <f t="shared" si="1"/>
        <v>8</v>
      </c>
      <c r="I7" s="63">
        <f t="shared" si="1"/>
        <v>13</v>
      </c>
      <c r="J7" s="63">
        <f t="shared" si="1"/>
        <v>13</v>
      </c>
      <c r="K7" s="63">
        <f t="shared" si="1"/>
        <v>7</v>
      </c>
      <c r="L7" s="63">
        <f t="shared" si="1"/>
        <v>1</v>
      </c>
      <c r="M7" s="63">
        <f t="shared" si="1"/>
        <v>13</v>
      </c>
      <c r="N7" s="57">
        <f t="shared" si="1"/>
        <v>13</v>
      </c>
      <c r="P7" s="8" t="s">
        <v>20</v>
      </c>
      <c r="Q7" s="10">
        <v>2578160.0</v>
      </c>
      <c r="S7" s="15" t="s">
        <v>35</v>
      </c>
      <c r="T7" s="28">
        <f>IF(Resultats!C7="","",Resultats!C7/AVERAGE(Resultats!$C7:Resultats!$O7))</f>
        <v>1.152107917</v>
      </c>
      <c r="U7" s="28">
        <f>IF(Resultats!D7="","",Resultats!D7/AVERAGE(Resultats!$C7:Resultats!$O7))</f>
        <v>0.04661953335</v>
      </c>
      <c r="V7" s="28">
        <f>IF(Resultats!E7="","",Resultats!E7/AVERAGE(Resultats!$C7:Resultats!$O7))</f>
        <v>1.150222264</v>
      </c>
      <c r="W7" s="28">
        <f>IF(Resultats!F7="","",Resultats!F7/AVERAGE(Resultats!$C7:Resultats!$O7))</f>
        <v>1.147941019</v>
      </c>
      <c r="X7" s="28">
        <f>IF(Resultats!G7="","",Resultats!G7/AVERAGE(Resultats!$C7:Resultats!$O7))</f>
        <v>1.139923695</v>
      </c>
      <c r="Y7" s="28">
        <f>IF(Resultats!H7="","",Resultats!H7/AVERAGE(Resultats!$C7:Resultats!$O7))</f>
        <v>1.137148902</v>
      </c>
      <c r="Z7" s="28">
        <f>IF(Resultats!I7="","",Resultats!I7/AVERAGE(Resultats!$C7:Resultats!$O7))</f>
        <v>1.056001753</v>
      </c>
      <c r="AA7" s="28" t="str">
        <f>IF(Resultats!J7="","",Resultats!J7/AVERAGE(Resultats!$C7:Resultats!$O7))</f>
        <v/>
      </c>
      <c r="AB7" s="28" t="str">
        <f>IF(Resultats!K7="","",Resultats!K7/AVERAGE(Resultats!$C7:Resultats!$O7))</f>
        <v/>
      </c>
      <c r="AC7" s="28">
        <f>IF(Resultats!L7="","",Resultats!L7/AVERAGE(Resultats!$C7:Resultats!$O7))</f>
        <v>1.012373646</v>
      </c>
      <c r="AD7" s="28">
        <f>IF(Resultats!M7="","",Resultats!M7/AVERAGE(Resultats!$C7:Resultats!$O7))</f>
        <v>1.157661271</v>
      </c>
      <c r="AE7" s="28" t="str">
        <f>IF(Resultats!N7="","",Resultats!N7/AVERAGE(Resultats!$C7:Resultats!$O7))</f>
        <v/>
      </c>
      <c r="AF7" s="28" t="str">
        <f>IF(Resultats!O7="","",Resultats!O7/AVERAGE(Resultats!$C7:Resultats!$O7))</f>
        <v/>
      </c>
    </row>
    <row r="8">
      <c r="P8" s="8" t="s">
        <v>21</v>
      </c>
      <c r="Q8" s="10">
        <v>2565015.0</v>
      </c>
      <c r="S8" s="64" t="s">
        <v>48</v>
      </c>
      <c r="T8" s="28">
        <f>IF(Resultats!C21="","",Resultats!C21/AVERAGE(Resultats!$C21:Resultats!$O21))</f>
        <v>1.165436393</v>
      </c>
      <c r="U8" s="28">
        <f>IF(Resultats!D21="","",Resultats!D21/AVERAGE(Resultats!$C21:Resultats!$O21))</f>
        <v>0.1203139198</v>
      </c>
      <c r="V8" s="28">
        <f>IF(Resultats!E21="","",Resultats!E21/AVERAGE(Resultats!$C21:Resultats!$O21))</f>
        <v>1.162752343</v>
      </c>
      <c r="W8" s="28">
        <f>IF(Resultats!F21="","",Resultats!F21/AVERAGE(Resultats!$C21:Resultats!$O21))</f>
        <v>1.160590691</v>
      </c>
      <c r="X8" s="28">
        <f>IF(Resultats!G21="","",Resultats!G21/AVERAGE(Resultats!$C21:Resultats!$O21))</f>
        <v>1.127355299</v>
      </c>
      <c r="Y8" s="28">
        <f>IF(Resultats!H21="","",Resultats!H21/AVERAGE(Resultats!$C21:Resultats!$O21))</f>
        <v>1.121879116</v>
      </c>
      <c r="Z8" s="28">
        <f>IF(Resultats!I21="","",Resultats!I21/AVERAGE(Resultats!$C21:Resultats!$O21))</f>
        <v>1.077114916</v>
      </c>
      <c r="AA8" s="28" t="str">
        <f>IF(Resultats!J21="","",Resultats!J21/AVERAGE(Resultats!$C21:Resultats!$O21))</f>
        <v/>
      </c>
      <c r="AB8" s="28" t="str">
        <f>IF(Resultats!K21="","",Resultats!K21/AVERAGE(Resultats!$C21:Resultats!$O21))</f>
        <v/>
      </c>
      <c r="AC8" s="28">
        <f>IF(Resultats!L21="","",Resultats!L21/AVERAGE(Resultats!$C21:Resultats!$O21))</f>
        <v>0.9047412223</v>
      </c>
      <c r="AD8" s="28">
        <f>IF(Resultats!M21="","",Resultats!M21/AVERAGE(Resultats!$C21:Resultats!$O21))</f>
        <v>1.1598161</v>
      </c>
      <c r="AE8" s="28" t="str">
        <f>IF(Resultats!N21="","",Resultats!N21/AVERAGE(Resultats!$C21:Resultats!$O21))</f>
        <v/>
      </c>
      <c r="AF8" s="28" t="str">
        <f>IF(Resultats!O21="","",Resultats!O21/AVERAGE(Resultats!$C21:Resultats!$O21))</f>
        <v/>
      </c>
    </row>
    <row r="9">
      <c r="P9" s="8" t="s">
        <v>25</v>
      </c>
      <c r="Q9" s="10">
        <v>1694905.0</v>
      </c>
      <c r="S9" s="64" t="s">
        <v>49</v>
      </c>
      <c r="T9" s="28">
        <f>IF(Resultats!C22="","",Resultats!C22/AVERAGE(Resultats!$C22:Resultats!$O22))</f>
        <v>1.11634425</v>
      </c>
      <c r="U9" s="28">
        <f>IF(Resultats!D22="","",Resultats!D22/AVERAGE(Resultats!$C22:Resultats!$O22))</f>
        <v>0.1989131492</v>
      </c>
      <c r="V9" s="28">
        <f>IF(Resultats!E22="","",Resultats!E22/AVERAGE(Resultats!$C22:Resultats!$O22))</f>
        <v>1.115630048</v>
      </c>
      <c r="W9" s="28">
        <f>IF(Resultats!F22="","",Resultats!F22/AVERAGE(Resultats!$C22:Resultats!$O22))</f>
        <v>1.113805882</v>
      </c>
      <c r="X9" s="28">
        <f>IF(Resultats!G22="","",Resultats!G22/AVERAGE(Resultats!$C22:Resultats!$O22))</f>
        <v>1.116241153</v>
      </c>
      <c r="Y9" s="28">
        <f>IF(Resultats!H22="","",Resultats!H22/AVERAGE(Resultats!$C22:Resultats!$O22))</f>
        <v>1.115572679</v>
      </c>
      <c r="Z9" s="28">
        <f>IF(Resultats!I22="","",Resultats!I22/AVERAGE(Resultats!$C22:Resultats!$O22))</f>
        <v>1.11327709</v>
      </c>
      <c r="AA9" s="28" t="str">
        <f>IF(Resultats!J22="","",Resultats!J22/AVERAGE(Resultats!$C22:Resultats!$O22))</f>
        <v/>
      </c>
      <c r="AB9" s="28" t="str">
        <f>IF(Resultats!K22="","",Resultats!K22/AVERAGE(Resultats!$C22:Resultats!$O22))</f>
        <v/>
      </c>
      <c r="AC9" s="28">
        <f>IF(Resultats!L22="","",Resultats!L22/AVERAGE(Resultats!$C22:Resultats!$O22))</f>
        <v>0.9966135685</v>
      </c>
      <c r="AD9" s="28">
        <f>IF(Resultats!M22="","",Resultats!M22/AVERAGE(Resultats!$C22:Resultats!$O22))</f>
        <v>1.11360218</v>
      </c>
      <c r="AE9" s="28" t="str">
        <f>IF(Resultats!N22="","",Resultats!N22/AVERAGE(Resultats!$C22:Resultats!$O22))</f>
        <v/>
      </c>
      <c r="AF9" s="28" t="str">
        <f>IF(Resultats!O22="","",Resultats!O22/AVERAGE(Resultats!$C22:Resultats!$O22))</f>
        <v/>
      </c>
    </row>
    <row r="10">
      <c r="A10" s="3" t="s">
        <v>3</v>
      </c>
      <c r="P10" s="8" t="s">
        <v>22</v>
      </c>
      <c r="Q10" s="10">
        <v>1551752.0</v>
      </c>
      <c r="S10" s="64" t="s">
        <v>15</v>
      </c>
      <c r="T10" s="28">
        <f>IF(Resultats!C23="","",Resultats!C23/AVERAGE(Resultats!$C23:Resultats!$O23))</f>
        <v>1.183754422</v>
      </c>
      <c r="U10" s="28">
        <f>IF(Resultats!D23="","",Resultats!D23/AVERAGE(Resultats!$C23:Resultats!$O23))</f>
        <v>0.5577399467</v>
      </c>
      <c r="V10" s="28">
        <f>IF(Resultats!E23="","",Resultats!E23/AVERAGE(Resultats!$C23:Resultats!$O23))</f>
        <v>1.183151329</v>
      </c>
      <c r="W10" s="28">
        <f>IF(Resultats!F23="","",Resultats!F23/AVERAGE(Resultats!$C23:Resultats!$O23))</f>
        <v>1.182966882</v>
      </c>
      <c r="X10" s="28">
        <f>IF(Resultats!G23="","",Resultats!G23/AVERAGE(Resultats!$C23:Resultats!$O23))</f>
        <v>1.179287649</v>
      </c>
      <c r="Y10" s="28">
        <f>IF(Resultats!H23="","",Resultats!H23/AVERAGE(Resultats!$C23:Resultats!$O23))</f>
        <v>1.179230616</v>
      </c>
      <c r="Z10" s="28">
        <f>IF(Resultats!I23="","",Resultats!I23/AVERAGE(Resultats!$C23:Resultats!$O23))</f>
        <v>1.179328907</v>
      </c>
      <c r="AA10" s="28" t="str">
        <f>IF(Resultats!J23="","",Resultats!J23/AVERAGE(Resultats!$C23:Resultats!$O23))</f>
        <v/>
      </c>
      <c r="AB10" s="28" t="str">
        <f>IF(Resultats!K23="","",Resultats!K23/AVERAGE(Resultats!$C23:Resultats!$O23))</f>
        <v/>
      </c>
      <c r="AC10" s="28">
        <f>IF(Resultats!L23="","",Resultats!L23/AVERAGE(Resultats!$C23:Resultats!$O23))</f>
        <v>0.171573367</v>
      </c>
      <c r="AD10" s="28">
        <f>IF(Resultats!M23="","",Resultats!M23/AVERAGE(Resultats!$C23:Resultats!$O23))</f>
        <v>1.182966882</v>
      </c>
      <c r="AE10" s="28" t="str">
        <f>IF(Resultats!N23="","",Resultats!N23/AVERAGE(Resultats!$C23:Resultats!$O23))</f>
        <v/>
      </c>
      <c r="AF10" s="28" t="str">
        <f>IF(Resultats!O23="","",Resultats!O23/AVERAGE(Resultats!$C23:Resultats!$O23))</f>
        <v/>
      </c>
    </row>
    <row r="11">
      <c r="N11" s="9">
        <f>COUNTA(B12:N12)</f>
        <v>13</v>
      </c>
      <c r="P11" s="8" t="s">
        <v>17</v>
      </c>
      <c r="Q11" s="10">
        <v>1161045.0</v>
      </c>
      <c r="S11" s="64" t="s">
        <v>76</v>
      </c>
      <c r="T11" s="28">
        <f>IF(Resultats!C24="","",Resultats!C24/AVERAGE(Resultats!$C24:Resultats!$O24))</f>
        <v>1.069735999</v>
      </c>
      <c r="U11" s="28">
        <f>IF(Resultats!D24="","",Resultats!D24/AVERAGE(Resultats!$C24:Resultats!$O24))</f>
        <v>0.9742276433</v>
      </c>
      <c r="V11" s="28">
        <f>IF(Resultats!E24="","",Resultats!E24/AVERAGE(Resultats!$C24:Resultats!$O24))</f>
        <v>1.068552793</v>
      </c>
      <c r="W11" s="28">
        <f>IF(Resultats!F24="","",Resultats!F24/AVERAGE(Resultats!$C24:Resultats!$O24))</f>
        <v>1.068561362</v>
      </c>
      <c r="X11" s="28">
        <f>IF(Resultats!G24="","",Resultats!G24/AVERAGE(Resultats!$C24:Resultats!$O24))</f>
        <v>1.068561362</v>
      </c>
      <c r="Y11" s="28">
        <f>IF(Resultats!H24="","",Resultats!H24/AVERAGE(Resultats!$C24:Resultats!$O24))</f>
        <v>1.012387999</v>
      </c>
      <c r="Z11" s="28">
        <f>IF(Resultats!I24="","",Resultats!I24/AVERAGE(Resultats!$C24:Resultats!$O24))</f>
        <v>0.9876763463</v>
      </c>
      <c r="AA11" s="28" t="str">
        <f>IF(Resultats!J24="","",Resultats!J24/AVERAGE(Resultats!$C24:Resultats!$O24))</f>
        <v/>
      </c>
      <c r="AB11" s="28" t="str">
        <f>IF(Resultats!K24="","",Resultats!K24/AVERAGE(Resultats!$C24:Resultats!$O24))</f>
        <v/>
      </c>
      <c r="AC11" s="28">
        <f>IF(Resultats!L24="","",Resultats!L24/AVERAGE(Resultats!$C24:Resultats!$O24))</f>
        <v>0.6818865157</v>
      </c>
      <c r="AD11" s="28">
        <f>IF(Resultats!M24="","",Resultats!M24/AVERAGE(Resultats!$C24:Resultats!$O24))</f>
        <v>1.06840998</v>
      </c>
      <c r="AE11" s="28" t="str">
        <f>IF(Resultats!N24="","",Resultats!N24/AVERAGE(Resultats!$C24:Resultats!$O24))</f>
        <v/>
      </c>
      <c r="AF11" s="28" t="str">
        <f>IF(Resultats!O24="","",Resultats!O24/AVERAGE(Resultats!$C24:Resultats!$O24))</f>
        <v/>
      </c>
    </row>
    <row r="12">
      <c r="A12" s="12" t="s">
        <v>5</v>
      </c>
      <c r="B12" s="13" t="s">
        <v>16</v>
      </c>
      <c r="C12" s="13" t="s">
        <v>17</v>
      </c>
      <c r="D12" s="13" t="s">
        <v>18</v>
      </c>
      <c r="E12" s="13" t="s">
        <v>19</v>
      </c>
      <c r="F12" s="13" t="s">
        <v>20</v>
      </c>
      <c r="G12" s="13" t="s">
        <v>21</v>
      </c>
      <c r="H12" s="13" t="s">
        <v>22</v>
      </c>
      <c r="I12" s="13" t="s">
        <v>23</v>
      </c>
      <c r="J12" s="13" t="s">
        <v>24</v>
      </c>
      <c r="K12" s="13" t="s">
        <v>25</v>
      </c>
      <c r="L12" s="13" t="s">
        <v>26</v>
      </c>
      <c r="M12" s="13" t="s">
        <v>27</v>
      </c>
      <c r="N12" s="13" t="s">
        <v>28</v>
      </c>
      <c r="P12" s="8" t="s">
        <v>23</v>
      </c>
      <c r="Q12" s="10">
        <v>0.0</v>
      </c>
      <c r="S12" s="64" t="s">
        <v>77</v>
      </c>
      <c r="T12" s="28">
        <f>IF(Resultats!C25="","",Resultats!C25/AVERAGE(Resultats!$C25:Resultats!$O25))</f>
        <v>1.138685303</v>
      </c>
      <c r="U12" s="28">
        <f>IF(Resultats!D25="","",Resultats!D25/AVERAGE(Resultats!$C25:Resultats!$O25))</f>
        <v>0.3598847827</v>
      </c>
      <c r="V12" s="28">
        <f>IF(Resultats!E25="","",Resultats!E25/AVERAGE(Resultats!$C25:Resultats!$O25))</f>
        <v>1.135608452</v>
      </c>
      <c r="W12" s="28">
        <f>IF(Resultats!F25="","",Resultats!F25/AVERAGE(Resultats!$C25:Resultats!$O25))</f>
        <v>1.135818158</v>
      </c>
      <c r="X12" s="28">
        <f>IF(Resultats!G25="","",Resultats!G25/AVERAGE(Resultats!$C25:Resultats!$O25))</f>
        <v>1.108918525</v>
      </c>
      <c r="Y12" s="28">
        <f>IF(Resultats!H25="","",Resultats!H25/AVERAGE(Resultats!$C25:Resultats!$O25))</f>
        <v>1.106630816</v>
      </c>
      <c r="Z12" s="28">
        <f>IF(Resultats!I25="","",Resultats!I25/AVERAGE(Resultats!$C25:Resultats!$O25))</f>
        <v>1.088544058</v>
      </c>
      <c r="AA12" s="28" t="str">
        <f>IF(Resultats!J25="","",Resultats!J25/AVERAGE(Resultats!$C25:Resultats!$O25))</f>
        <v/>
      </c>
      <c r="AB12" s="28" t="str">
        <f>IF(Resultats!K25="","",Resultats!K25/AVERAGE(Resultats!$C25:Resultats!$O25))</f>
        <v/>
      </c>
      <c r="AC12" s="28">
        <f>IF(Resultats!L25="","",Resultats!L25/AVERAGE(Resultats!$C25:Resultats!$O25))</f>
        <v>0.7905117373</v>
      </c>
      <c r="AD12" s="28">
        <f>IF(Resultats!M25="","",Resultats!M25/AVERAGE(Resultats!$C25:Resultats!$O25))</f>
        <v>1.135398167</v>
      </c>
      <c r="AE12" s="28" t="str">
        <f>IF(Resultats!N25="","",Resultats!N25/AVERAGE(Resultats!$C25:Resultats!$O25))</f>
        <v/>
      </c>
      <c r="AF12" s="28" t="str">
        <f>IF(Resultats!O25="","",Resultats!O25/AVERAGE(Resultats!$C25:Resultats!$O25))</f>
        <v/>
      </c>
    </row>
    <row r="13">
      <c r="A13" s="15" t="s">
        <v>32</v>
      </c>
      <c r="B13" s="79">
        <f>IF(Resultats!C4="","",Resultats!C4/Resultats!$B4)</f>
        <v>0.9975387263</v>
      </c>
      <c r="C13" s="79">
        <f>IF(Resultats!D4="","",Resultats!D4/Resultats!$B4)</f>
        <v>0.4950545275</v>
      </c>
      <c r="D13" s="79">
        <f>IF(Resultats!E4="","",Resultats!E4/Resultats!$B4)</f>
        <v>0.9966997666</v>
      </c>
      <c r="E13" s="79">
        <f>IF(Resultats!F4="","",Resultats!F4/Resultats!$B4)</f>
        <v>0.9971085155</v>
      </c>
      <c r="F13" s="79">
        <f>IF(Resultats!G4="","",Resultats!G4/Resultats!$B4)</f>
        <v>0.9437643343</v>
      </c>
      <c r="G13" s="79">
        <f>IF(Resultats!H4="","",Resultats!H4/Resultats!$B4)</f>
        <v>0.9405060488</v>
      </c>
      <c r="H13" s="79">
        <f>IF(Resultats!I4="","",Resultats!I4/Resultats!$B4)</f>
        <v>0.8378700568</v>
      </c>
      <c r="I13" s="79" t="str">
        <f>IF(Resultats!J4="","",Resultats!J4/Resultats!$B4)</f>
        <v/>
      </c>
      <c r="J13" s="79" t="str">
        <f>IF(Resultats!K4="","",Resultats!K4/Resultats!$B4)</f>
        <v/>
      </c>
      <c r="K13" s="79">
        <f>IF(Resultats!L4="","",Resultats!L4/Resultats!$B4)</f>
        <v>0.1885318107</v>
      </c>
      <c r="L13" s="79">
        <f>IF(Resultats!M4="","",Resultats!M4/Resultats!$B4)</f>
        <v>1</v>
      </c>
      <c r="M13" s="79" t="str">
        <f>IF(Resultats!N4="","",Resultats!N4/Resultats!$B4)</f>
        <v/>
      </c>
      <c r="N13" s="79" t="str">
        <f>IF(Resultats!O4="","",Resultats!O4/Resultats!$B4)</f>
        <v/>
      </c>
      <c r="P13" s="8" t="s">
        <v>24</v>
      </c>
      <c r="Q13" s="10">
        <v>0.0</v>
      </c>
      <c r="S13" s="78" t="str">
        <f>Resultats!A26</f>
        <v>4990_246_84901_50.in</v>
      </c>
      <c r="T13" s="28">
        <f>IF(Resultats!C26="","",Resultats!C26/AVERAGE(Resultats!$C26:Resultats!$O26))</f>
        <v>1.122941475</v>
      </c>
      <c r="U13" s="28" t="str">
        <f>IF(Resultats!D26="","",Resultats!D26/AVERAGE(Resultats!$C26:Resultats!$O26))</f>
        <v/>
      </c>
      <c r="V13" s="28">
        <f>IF(Resultats!E26="","",Resultats!E26/AVERAGE(Resultats!$C26:Resultats!$O26))</f>
        <v>1.12300702</v>
      </c>
      <c r="W13" s="28" t="str">
        <f>IF(Resultats!F26="","",Resultats!F26/AVERAGE(Resultats!$C26:Resultats!$O26))</f>
        <v/>
      </c>
      <c r="X13" s="28">
        <f>IF(Resultats!G26="","",Resultats!G26/AVERAGE(Resultats!$C26:Resultats!$O26))</f>
        <v>1.082223235</v>
      </c>
      <c r="Y13" s="28">
        <f>IF(Resultats!H26="","",Resultats!H26/AVERAGE(Resultats!$C26:Resultats!$O26))</f>
        <v>1.079204388</v>
      </c>
      <c r="Z13" s="28">
        <f>IF(Resultats!I26="","",Resultats!I26/AVERAGE(Resultats!$C26:Resultats!$O26))</f>
        <v>1.06865902</v>
      </c>
      <c r="AA13" s="28" t="str">
        <f>IF(Resultats!J26="","",Resultats!J26/AVERAGE(Resultats!$C26:Resultats!$O26))</f>
        <v/>
      </c>
      <c r="AB13" s="28" t="str">
        <f>IF(Resultats!K26="","",Resultats!K26/AVERAGE(Resultats!$C26:Resultats!$O26))</f>
        <v/>
      </c>
      <c r="AC13" s="28">
        <f>IF(Resultats!L26="","",Resultats!L26/AVERAGE(Resultats!$C26:Resultats!$O26))</f>
        <v>0.5239648617</v>
      </c>
      <c r="AD13" s="28" t="str">
        <f>IF(Resultats!M26="","",Resultats!M26/AVERAGE(Resultats!$C26:Resultats!$O26))</f>
        <v/>
      </c>
      <c r="AE13" s="28" t="str">
        <f>IF(Resultats!N26="","",Resultats!N26/AVERAGE(Resultats!$C26:Resultats!$O26))</f>
        <v/>
      </c>
      <c r="AF13" s="28" t="str">
        <f>IF(Resultats!O26="","",Resultats!O26/AVERAGE(Resultats!$C26:Resultats!$O26))</f>
        <v/>
      </c>
    </row>
    <row r="14">
      <c r="A14" s="15" t="s">
        <v>33</v>
      </c>
      <c r="B14" s="79">
        <f>IF(Resultats!C5="","",Resultats!C5/Resultats!$B5)</f>
        <v>0.9832525743</v>
      </c>
      <c r="C14" s="79">
        <f>IF(Resultats!D5="","",Resultats!D5/Resultats!$B5)</f>
        <v>0.5841504423</v>
      </c>
      <c r="D14" s="79">
        <f>IF(Resultats!E5="","",Resultats!E5/Resultats!$B5)</f>
        <v>0.9914007554</v>
      </c>
      <c r="E14" s="79">
        <f>IF(Resultats!F5="","",Resultats!F5/Resultats!$B5)</f>
        <v>0.9832525743</v>
      </c>
      <c r="F14" s="79">
        <f>IF(Resultats!G5="","",Resultats!G5/Resultats!$B5)</f>
        <v>0.9788251829</v>
      </c>
      <c r="G14" s="79">
        <f>IF(Resultats!H5="","",Resultats!H5/Resultats!$B5)</f>
        <v>0.9627204742</v>
      </c>
      <c r="H14" s="79">
        <f>IF(Resultats!I5="","",Resultats!I5/Resultats!$B5)</f>
        <v>0.95087667</v>
      </c>
      <c r="I14" s="79" t="str">
        <f>IF(Resultats!J5="","",Resultats!J5/Resultats!$B5)</f>
        <v/>
      </c>
      <c r="J14" s="79" t="str">
        <f>IF(Resultats!K5="","",Resultats!K5/Resultats!$B5)</f>
        <v/>
      </c>
      <c r="K14" s="79">
        <f>IF(Resultats!L5="","",Resultats!L5/Resultats!$B5)</f>
        <v>0.8990856769</v>
      </c>
      <c r="L14" s="79">
        <f>IF(Resultats!M5="","",Resultats!M5/Resultats!$B5)</f>
        <v>1</v>
      </c>
      <c r="M14" s="79" t="str">
        <f>IF(Resultats!N5="","",Resultats!N5/Resultats!$B5)</f>
        <v/>
      </c>
      <c r="N14" s="79" t="str">
        <f>IF(Resultats!O5="","",Resultats!O5/Resultats!$B5)</f>
        <v/>
      </c>
      <c r="P14" s="8" t="s">
        <v>27</v>
      </c>
      <c r="Q14" s="10">
        <v>0.0</v>
      </c>
      <c r="S14" s="78" t="str">
        <f>Resultats!A27</f>
        <v>6970_311_100000_69.in</v>
      </c>
      <c r="T14" s="28">
        <f>IF(Resultats!C27="","",Resultats!C27/AVERAGE(Resultats!$C27:Resultats!$O27))</f>
        <v>1.068974989</v>
      </c>
      <c r="U14" s="28" t="str">
        <f>IF(Resultats!D27="","",Resultats!D27/AVERAGE(Resultats!$C27:Resultats!$O27))</f>
        <v/>
      </c>
      <c r="V14" s="28">
        <f>IF(Resultats!E27="","",Resultats!E27/AVERAGE(Resultats!$C27:Resultats!$O27))</f>
        <v>1.069067548</v>
      </c>
      <c r="W14" s="28" t="str">
        <f>IF(Resultats!F27="","",Resultats!F27/AVERAGE(Resultats!$C27:Resultats!$O27))</f>
        <v/>
      </c>
      <c r="X14" s="28">
        <f>IF(Resultats!G27="","",Resultats!G27/AVERAGE(Resultats!$C27:Resultats!$O27))</f>
        <v>1.05111634</v>
      </c>
      <c r="Y14" s="28">
        <f>IF(Resultats!H27="","",Resultats!H27/AVERAGE(Resultats!$C27:Resultats!$O27))</f>
        <v>1.048942659</v>
      </c>
      <c r="Z14" s="28">
        <f>IF(Resultats!I27="","",Resultats!I27/AVERAGE(Resultats!$C27:Resultats!$O27))</f>
        <v>1.032812361</v>
      </c>
      <c r="AA14" s="28" t="str">
        <f>IF(Resultats!J27="","",Resultats!J27/AVERAGE(Resultats!$C27:Resultats!$O27))</f>
        <v/>
      </c>
      <c r="AB14" s="28" t="str">
        <f>IF(Resultats!K27="","",Resultats!K27/AVERAGE(Resultats!$C27:Resultats!$O27))</f>
        <v/>
      </c>
      <c r="AC14" s="28">
        <f>IF(Resultats!L27="","",Resultats!L27/AVERAGE(Resultats!$C27:Resultats!$O27))</f>
        <v>0.729086104</v>
      </c>
      <c r="AD14" s="28" t="str">
        <f>IF(Resultats!M27="","",Resultats!M27/AVERAGE(Resultats!$C27:Resultats!$O27))</f>
        <v/>
      </c>
      <c r="AE14" s="28" t="str">
        <f>IF(Resultats!N27="","",Resultats!N27/AVERAGE(Resultats!$C27:Resultats!$O27))</f>
        <v/>
      </c>
      <c r="AF14" s="28" t="str">
        <f>IF(Resultats!O27="","",Resultats!O27/AVERAGE(Resultats!$C27:Resultats!$O27))</f>
        <v/>
      </c>
    </row>
    <row r="15">
      <c r="A15" s="15" t="s">
        <v>34</v>
      </c>
      <c r="B15" s="79">
        <f>IF(Resultats!C6="","",Resultats!C6/Resultats!$B6)</f>
        <v>0.999932</v>
      </c>
      <c r="C15" s="79">
        <f>IF(Resultats!D6="","",Resultats!D6/Resultats!$B6)</f>
        <v>0.65416</v>
      </c>
      <c r="D15" s="79">
        <f>IF(Resultats!E6="","",Resultats!E6/Resultats!$B6)</f>
        <v>0.999932</v>
      </c>
      <c r="E15" s="79">
        <f>IF(Resultats!F6="","",Resultats!F6/Resultats!$B6)</f>
        <v>0.999932</v>
      </c>
      <c r="F15" s="79">
        <f>IF(Resultats!G6="","",Resultats!G6/Resultats!$B6)</f>
        <v>0.999958</v>
      </c>
      <c r="G15" s="79">
        <f>IF(Resultats!H6="","",Resultats!H6/Resultats!$B6)</f>
        <v>0.999932</v>
      </c>
      <c r="H15" s="79">
        <f>IF(Resultats!I6="","",Resultats!I6/Resultats!$B6)</f>
        <v>0.999982</v>
      </c>
      <c r="I15" s="79" t="str">
        <f>IF(Resultats!J6="","",Resultats!J6/Resultats!$B6)</f>
        <v/>
      </c>
      <c r="J15" s="79" t="str">
        <f>IF(Resultats!K6="","",Resultats!K6/Resultats!$B6)</f>
        <v/>
      </c>
      <c r="K15" s="79">
        <f>IF(Resultats!L6="","",Resultats!L6/Resultats!$B6)</f>
        <v>0.999594</v>
      </c>
      <c r="L15" s="79">
        <f>IF(Resultats!M6="","",Resultats!M6/Resultats!$B6)</f>
        <v>1</v>
      </c>
      <c r="M15" s="79" t="str">
        <f>IF(Resultats!N6="","",Resultats!N6/Resultats!$B6)</f>
        <v/>
      </c>
      <c r="N15" s="79" t="str">
        <f>IF(Resultats!O6="","",Resultats!O6/Resultats!$B6)</f>
        <v/>
      </c>
      <c r="P15" s="30" t="s">
        <v>28</v>
      </c>
      <c r="Q15" s="61">
        <v>0.0</v>
      </c>
      <c r="S15" s="78" t="str">
        <f>Resultats!A28</f>
        <v>10000_500_100000_100.in</v>
      </c>
      <c r="T15" s="28">
        <f>IF(Resultats!C28="","",Resultats!C28/AVERAGE(Resultats!$C28:Resultats!$O28))</f>
        <v>1.081617009</v>
      </c>
      <c r="U15" s="28" t="str">
        <f>IF(Resultats!D28="","",Resultats!D28/AVERAGE(Resultats!$C28:Resultats!$O28))</f>
        <v/>
      </c>
      <c r="V15" s="28">
        <f>IF(Resultats!E28="","",Resultats!E28/AVERAGE(Resultats!$C28:Resultats!$O28))</f>
        <v>1.081637362</v>
      </c>
      <c r="W15" s="28" t="str">
        <f>IF(Resultats!F28="","",Resultats!F28/AVERAGE(Resultats!$C28:Resultats!$O28))</f>
        <v/>
      </c>
      <c r="X15" s="28">
        <f>IF(Resultats!G28="","",Resultats!G28/AVERAGE(Resultats!$C28:Resultats!$O28))</f>
        <v>1.081641647</v>
      </c>
      <c r="Y15" s="28">
        <f>IF(Resultats!H28="","",Resultats!H28/AVERAGE(Resultats!$C28:Resultats!$O28))</f>
        <v>1.080357244</v>
      </c>
      <c r="Z15" s="28">
        <f>IF(Resultats!I28="","",Resultats!I28/AVERAGE(Resultats!$C28:Resultats!$O28))</f>
        <v>1.074702227</v>
      </c>
      <c r="AA15" s="28" t="str">
        <f>IF(Resultats!J28="","",Resultats!J28/AVERAGE(Resultats!$C28:Resultats!$O28))</f>
        <v/>
      </c>
      <c r="AB15" s="28" t="str">
        <f>IF(Resultats!K28="","",Resultats!K28/AVERAGE(Resultats!$C28:Resultats!$O28))</f>
        <v/>
      </c>
      <c r="AC15" s="28">
        <f>IF(Resultats!L28="","",Resultats!L28/AVERAGE(Resultats!$C28:Resultats!$O28))</f>
        <v>0.6000445096</v>
      </c>
      <c r="AD15" s="28" t="str">
        <f>IF(Resultats!M28="","",Resultats!M28/AVERAGE(Resultats!$C28:Resultats!$O28))</f>
        <v/>
      </c>
      <c r="AE15" s="28" t="str">
        <f>IF(Resultats!N28="","",Resultats!N28/AVERAGE(Resultats!$C28:Resultats!$O28))</f>
        <v/>
      </c>
      <c r="AF15" s="28" t="str">
        <f>IF(Resultats!O28="","",Resultats!O28/AVERAGE(Resultats!$C28:Resultats!$O28))</f>
        <v/>
      </c>
    </row>
    <row r="16">
      <c r="A16" s="15" t="s">
        <v>35</v>
      </c>
      <c r="B16" s="79">
        <f>IF(Resultats!C7="","",Resultats!C7/Resultats!$B7)</f>
        <v>0.995202955</v>
      </c>
      <c r="C16" s="79">
        <f>IF(Resultats!D7="","",Resultats!D7/Resultats!$B7)</f>
        <v>0.04027044399</v>
      </c>
      <c r="D16" s="79">
        <f>IF(Resultats!E7="","",Resultats!E7/Resultats!$B7)</f>
        <v>0.9935741077</v>
      </c>
      <c r="E16" s="79">
        <f>IF(Resultats!F7="","",Resultats!F7/Resultats!$B7)</f>
        <v>0.9916035441</v>
      </c>
      <c r="F16" s="79">
        <f>IF(Resultats!G7="","",Resultats!G7/Resultats!$B7)</f>
        <v>0.9846780952</v>
      </c>
      <c r="G16" s="79">
        <f>IF(Resultats!H7="","",Resultats!H7/Resultats!$B7)</f>
        <v>0.9822811999</v>
      </c>
      <c r="H16" s="79">
        <f>IF(Resultats!I7="","",Resultats!I7/Resultats!$B7)</f>
        <v>0.912185438</v>
      </c>
      <c r="I16" s="79" t="str">
        <f>IF(Resultats!J7="","",Resultats!J7/Resultats!$B7)</f>
        <v/>
      </c>
      <c r="J16" s="79" t="str">
        <f>IF(Resultats!K7="","",Resultats!K7/Resultats!$B7)</f>
        <v/>
      </c>
      <c r="K16" s="79">
        <f>IF(Resultats!L7="","",Resultats!L7/Resultats!$B7)</f>
        <v>0.8744990196</v>
      </c>
      <c r="L16" s="79">
        <f>IF(Resultats!M7="","",Resultats!M7/Resultats!$B7)</f>
        <v>1</v>
      </c>
      <c r="M16" s="79" t="str">
        <f>IF(Resultats!N7="","",Resultats!N7/Resultats!$B7)</f>
        <v/>
      </c>
      <c r="N16" s="79" t="str">
        <f>IF(Resultats!O7="","",Resultats!O7/Resultats!$B7)</f>
        <v/>
      </c>
      <c r="S16" s="78" t="str">
        <f>Resultats!A29</f>
        <v>3860_246_84901_66.in</v>
      </c>
      <c r="T16" s="28">
        <f>IF(Resultats!C29="","",Resultats!C29/AVERAGE(Resultats!$C29:Resultats!$O29))</f>
        <v>1.067759522</v>
      </c>
      <c r="U16" s="28" t="str">
        <f>IF(Resultats!D29="","",Resultats!D29/AVERAGE(Resultats!$C29:Resultats!$O29))</f>
        <v/>
      </c>
      <c r="V16" s="28">
        <f>IF(Resultats!E29="","",Resultats!E29/AVERAGE(Resultats!$C29:Resultats!$O29))</f>
        <v>1.067794637</v>
      </c>
      <c r="W16" s="28" t="str">
        <f>IF(Resultats!F29="","",Resultats!F29/AVERAGE(Resultats!$C29:Resultats!$O29))</f>
        <v/>
      </c>
      <c r="X16" s="28">
        <f>IF(Resultats!G29="","",Resultats!G29/AVERAGE(Resultats!$C29:Resultats!$O29))</f>
        <v>1.068414278</v>
      </c>
      <c r="Y16" s="28">
        <f>IF(Resultats!H29="","",Resultats!H29/AVERAGE(Resultats!$C29:Resultats!$O29))</f>
        <v>1.067506156</v>
      </c>
      <c r="Z16" s="28">
        <f>IF(Resultats!I29="","",Resultats!I29/AVERAGE(Resultats!$C29:Resultats!$O29))</f>
        <v>1.063778588</v>
      </c>
      <c r="AA16" s="28" t="str">
        <f>IF(Resultats!J29="","",Resultats!J29/AVERAGE(Resultats!$C29:Resultats!$O29))</f>
        <v/>
      </c>
      <c r="AB16" s="28" t="str">
        <f>IF(Resultats!K29="","",Resultats!K29/AVERAGE(Resultats!$C29:Resultats!$O29))</f>
        <v/>
      </c>
      <c r="AC16" s="28">
        <f>IF(Resultats!L29="","",Resultats!L29/AVERAGE(Resultats!$C29:Resultats!$O29))</f>
        <v>0.6647468194</v>
      </c>
      <c r="AD16" s="28" t="str">
        <f>IF(Resultats!M29="","",Resultats!M29/AVERAGE(Resultats!$C29:Resultats!$O29))</f>
        <v/>
      </c>
      <c r="AE16" s="28" t="str">
        <f>IF(Resultats!N29="","",Resultats!N29/AVERAGE(Resultats!$C29:Resultats!$O29))</f>
        <v/>
      </c>
      <c r="AF16" s="28" t="str">
        <f>IF(Resultats!O29="","",Resultats!O29/AVERAGE(Resultats!$C29:Resultats!$O29))</f>
        <v/>
      </c>
    </row>
    <row r="17">
      <c r="A17" s="64" t="s">
        <v>48</v>
      </c>
      <c r="B17" s="79">
        <f>IF(Resultats!C21="","",Resultats!C21/Resultats!$B21)</f>
        <v>1</v>
      </c>
      <c r="C17" s="79">
        <f>IF(Resultats!D21="","",Resultats!D21/Resultats!$B21)</f>
        <v>0.1032350805</v>
      </c>
      <c r="D17" s="79">
        <f>IF(Resultats!E21="","",Resultats!E21/Resultats!$B21)</f>
        <v>0.9976969566</v>
      </c>
      <c r="E17" s="79">
        <f>IF(Resultats!F21="","",Resultats!F21/Resultats!$B21)</f>
        <v>0.9958421565</v>
      </c>
      <c r="F17" s="79">
        <f>IF(Resultats!G21="","",Resultats!G21/Resultats!$B21)</f>
        <v>0.9673246055</v>
      </c>
      <c r="G17" s="79">
        <f>IF(Resultats!H21="","",Resultats!H21/Resultats!$B21)</f>
        <v>0.9626257786</v>
      </c>
      <c r="H17" s="79">
        <f>IF(Resultats!I21="","",Resultats!I21/Resultats!$B21)</f>
        <v>0.9242159606</v>
      </c>
      <c r="I17" s="79" t="str">
        <f>IF(Resultats!J21="","",Resultats!J21/Resultats!$B21)</f>
        <v/>
      </c>
      <c r="J17" s="79" t="str">
        <f>IF(Resultats!K21="","",Resultats!K21/Resultats!$B21)</f>
        <v/>
      </c>
      <c r="K17" s="79">
        <f>IF(Resultats!L21="","",Resultats!L21/Resultats!$B21)</f>
        <v>0.7763111118</v>
      </c>
      <c r="L17" s="79">
        <f>IF(Resultats!M21="","",Resultats!M21/Resultats!$B21)</f>
        <v>0.9951775198</v>
      </c>
      <c r="M17" s="79" t="str">
        <f>IF(Resultats!N21="","",Resultats!N21/Resultats!$B21)</f>
        <v/>
      </c>
      <c r="N17" s="79" t="str">
        <f>IF(Resultats!O21="","",Resultats!O21/Resultats!$B21)</f>
        <v/>
      </c>
      <c r="S17" s="78" t="str">
        <f>Resultats!A30</f>
        <v>regional_instance.in</v>
      </c>
      <c r="T17" s="28">
        <f>IF(Resultats!C30="","",Resultats!C30/AVERAGE(Resultats!$C30:Resultats!$O30))</f>
        <v>1.008858555</v>
      </c>
      <c r="U17" s="28" t="str">
        <f>IF(Resultats!D30="","",Resultats!D30/AVERAGE(Resultats!$C30:Resultats!$O30))</f>
        <v/>
      </c>
      <c r="V17" s="28">
        <f>IF(Resultats!E30="","",Resultats!E30/AVERAGE(Resultats!$C30:Resultats!$O30))</f>
        <v>1.012385807</v>
      </c>
      <c r="W17" s="28" t="str">
        <f>IF(Resultats!F30="","",Resultats!F30/AVERAGE(Resultats!$C30:Resultats!$O30))</f>
        <v/>
      </c>
      <c r="X17" s="28">
        <f>IF(Resultats!G30="","",Resultats!G30/AVERAGE(Resultats!$C30:Resultats!$O30))</f>
        <v>1.010363829</v>
      </c>
      <c r="Y17" s="28">
        <f>IF(Resultats!H30="","",Resultats!H30/AVERAGE(Resultats!$C30:Resultats!$O30))</f>
        <v>1.001854441</v>
      </c>
      <c r="Z17" s="28">
        <f>IF(Resultats!I30="","",Resultats!I30/AVERAGE(Resultats!$C30:Resultats!$O30))</f>
        <v>0.9851584965</v>
      </c>
      <c r="AA17" s="28" t="str">
        <f>IF(Resultats!J30="","",Resultats!J30/AVERAGE(Resultats!$C30:Resultats!$O30))</f>
        <v/>
      </c>
      <c r="AB17" s="28" t="str">
        <f>IF(Resultats!K30="","",Resultats!K30/AVERAGE(Resultats!$C30:Resultats!$O30))</f>
        <v/>
      </c>
      <c r="AC17" s="28">
        <f>IF(Resultats!L30="","",Resultats!L30/AVERAGE(Resultats!$C30:Resultats!$O30))</f>
        <v>0.9813788708</v>
      </c>
      <c r="AD17" s="28" t="str">
        <f>IF(Resultats!M30="","",Resultats!M30/AVERAGE(Resultats!$C30:Resultats!$O30))</f>
        <v/>
      </c>
      <c r="AE17" s="28" t="str">
        <f>IF(Resultats!N30="","",Resultats!N30/AVERAGE(Resultats!$C30:Resultats!$O30))</f>
        <v/>
      </c>
      <c r="AF17" s="28" t="str">
        <f>IF(Resultats!O30="","",Resultats!O30/AVERAGE(Resultats!$C30:Resultats!$O30))</f>
        <v/>
      </c>
    </row>
    <row r="18">
      <c r="A18" s="64" t="s">
        <v>49</v>
      </c>
      <c r="B18" s="79">
        <f>IF(Resultats!C22="","",Resultats!C22/Resultats!$B22)</f>
        <v>1</v>
      </c>
      <c r="C18" s="79">
        <f>IF(Resultats!D22="","",Resultats!D22/Resultats!$B22)</f>
        <v>0.1781826253</v>
      </c>
      <c r="D18" s="79">
        <f>IF(Resultats!E22="","",Resultats!E22/Resultats!$B22)</f>
        <v>0.9993602314</v>
      </c>
      <c r="E18" s="79">
        <f>IF(Resultats!F22="","",Resultats!F22/Resultats!$B22)</f>
        <v>0.9977261776</v>
      </c>
      <c r="F18" s="79">
        <f>IF(Resultats!G22="","",Resultats!G22/Resultats!$B22)</f>
        <v>0.9999076469</v>
      </c>
      <c r="G18" s="79">
        <f>IF(Resultats!H22="","",Resultats!H22/Resultats!$B22)</f>
        <v>0.9993088414</v>
      </c>
      <c r="H18" s="79">
        <f>IF(Resultats!I22="","",Resultats!I22/Resultats!$B22)</f>
        <v>0.9972524956</v>
      </c>
      <c r="I18" s="79" t="str">
        <f>IF(Resultats!J22="","",Resultats!J22/Resultats!$B22)</f>
        <v/>
      </c>
      <c r="J18" s="79" t="str">
        <f>IF(Resultats!K22="","",Resultats!K22/Resultats!$B22)</f>
        <v/>
      </c>
      <c r="K18" s="79">
        <f>IF(Resultats!L22="","",Resultats!L22/Resultats!$B22)</f>
        <v>0.8927475268</v>
      </c>
      <c r="L18" s="79">
        <f>IF(Resultats!M22="","",Resultats!M22/Resultats!$B22)</f>
        <v>0.9975437057</v>
      </c>
      <c r="M18" s="79" t="str">
        <f>IF(Resultats!N22="","",Resultats!N22/Resultats!$B22)</f>
        <v/>
      </c>
      <c r="N18" s="79" t="str">
        <f>IF(Resultats!O22="","",Resultats!O22/Resultats!$B22)</f>
        <v/>
      </c>
      <c r="S18" s="78" t="str">
        <f>Resultats!A31</f>
        <v>zipF_instance.in</v>
      </c>
      <c r="T18" s="28">
        <f>IF(Resultats!C31="","",Resultats!C31/AVERAGE(Resultats!$C31:Resultats!$O31))</f>
        <v>1.003252725</v>
      </c>
      <c r="U18" s="28" t="str">
        <f>IF(Resultats!D31="","",Resultats!D31/AVERAGE(Resultats!$C31:Resultats!$O31))</f>
        <v/>
      </c>
      <c r="V18" s="28">
        <f>IF(Resultats!E31="","",Resultats!E31/AVERAGE(Resultats!$C31:Resultats!$O31))</f>
        <v>1.011574789</v>
      </c>
      <c r="W18" s="28" t="str">
        <f>IF(Resultats!F31="","",Resultats!F31/AVERAGE(Resultats!$C31:Resultats!$O31))</f>
        <v/>
      </c>
      <c r="X18" s="28">
        <f>IF(Resultats!G31="","",Resultats!G31/AVERAGE(Resultats!$C31:Resultats!$O31))</f>
        <v>1.004673552</v>
      </c>
      <c r="Y18" s="28">
        <f>IF(Resultats!H31="","",Resultats!H31/AVERAGE(Resultats!$C31:Resultats!$O31))</f>
        <v>0.9956716413</v>
      </c>
      <c r="Z18" s="28">
        <f>IF(Resultats!I31="","",Resultats!I31/AVERAGE(Resultats!$C31:Resultats!$O31))</f>
        <v>0.9903677814</v>
      </c>
      <c r="AA18" s="28" t="str">
        <f>IF(Resultats!J31="","",Resultats!J31/AVERAGE(Resultats!$C31:Resultats!$O31))</f>
        <v/>
      </c>
      <c r="AB18" s="28" t="str">
        <f>IF(Resultats!K31="","",Resultats!K31/AVERAGE(Resultats!$C31:Resultats!$O31))</f>
        <v/>
      </c>
      <c r="AC18" s="28">
        <f>IF(Resultats!L31="","",Resultats!L31/AVERAGE(Resultats!$C31:Resultats!$O31))</f>
        <v>0.9944595112</v>
      </c>
      <c r="AD18" s="28" t="str">
        <f>IF(Resultats!M31="","",Resultats!M31/AVERAGE(Resultats!$C31:Resultats!$O31))</f>
        <v/>
      </c>
      <c r="AE18" s="28" t="str">
        <f>IF(Resultats!N31="","",Resultats!N31/AVERAGE(Resultats!$C31:Resultats!$O31))</f>
        <v/>
      </c>
      <c r="AF18" s="28" t="str">
        <f>IF(Resultats!O31="","",Resultats!O31/AVERAGE(Resultats!$C31:Resultats!$O31))</f>
        <v/>
      </c>
    </row>
    <row r="19">
      <c r="A19" s="64" t="s">
        <v>15</v>
      </c>
      <c r="B19" s="79">
        <f>IF(Resultats!C23="","",Resultats!C23/Resultats!$B23)</f>
        <v>1</v>
      </c>
      <c r="C19" s="79">
        <f>IF(Resultats!D23="","",Resultats!D23/Resultats!$B23)</f>
        <v>0.4711618695</v>
      </c>
      <c r="D19" s="79">
        <f>IF(Resultats!E23="","",Resultats!E23/Resultats!$B23)</f>
        <v>0.999490525</v>
      </c>
      <c r="E19" s="79">
        <f>IF(Resultats!F23="","",Resultats!F23/Resultats!$B23)</f>
        <v>0.9993347097</v>
      </c>
      <c r="F19" s="79">
        <f>IF(Resultats!G23="","",Resultats!G23/Resultats!$B23)</f>
        <v>0.9962266046</v>
      </c>
      <c r="G19" s="79">
        <f>IF(Resultats!H23="","",Resultats!H23/Resultats!$B23)</f>
        <v>0.9961784249</v>
      </c>
      <c r="H19" s="79">
        <f>IF(Resultats!I23="","",Resultats!I23/Resultats!$B23)</f>
        <v>0.9962614581</v>
      </c>
      <c r="I19" s="79" t="str">
        <f>IF(Resultats!J23="","",Resultats!J23/Resultats!$B23)</f>
        <v/>
      </c>
      <c r="J19" s="79" t="str">
        <f>IF(Resultats!K23="","",Resultats!K23/Resultats!$B23)</f>
        <v/>
      </c>
      <c r="K19" s="79">
        <f>IF(Resultats!L23="","",Resultats!L23/Resultats!$B23)</f>
        <v>0.1449400009</v>
      </c>
      <c r="L19" s="79">
        <f>IF(Resultats!M23="","",Resultats!M23/Resultats!$B23)</f>
        <v>0.9993347097</v>
      </c>
      <c r="M19" s="79" t="str">
        <f>IF(Resultats!N23="","",Resultats!N23/Resultats!$B23)</f>
        <v/>
      </c>
      <c r="N19" s="79" t="str">
        <f>IF(Resultats!O23="","",Resultats!O23/Resultats!$B23)</f>
        <v/>
      </c>
      <c r="S19" s="78" t="str">
        <f>Resultats!A32</f>
        <v>big.in</v>
      </c>
      <c r="T19" s="28">
        <f>IF(Resultats!C32="","",Resultats!C32/AVERAGE(Resultats!$C32:Resultats!$O32))</f>
        <v>0.9721439181</v>
      </c>
      <c r="U19" s="28" t="str">
        <f>IF(Resultats!D32="","",Resultats!D32/AVERAGE(Resultats!$C32:Resultats!$O32))</f>
        <v/>
      </c>
      <c r="V19" s="28">
        <f>IF(Resultats!E32="","",Resultats!E32/AVERAGE(Resultats!$C32:Resultats!$O32))</f>
        <v>1.055712164</v>
      </c>
      <c r="W19" s="28" t="str">
        <f>IF(Resultats!F32="","",Resultats!F32/AVERAGE(Resultats!$C32:Resultats!$O32))</f>
        <v/>
      </c>
      <c r="X19" s="28">
        <f>IF(Resultats!G32="","",Resultats!G32/AVERAGE(Resultats!$C32:Resultats!$O32))</f>
        <v>0.9721439181</v>
      </c>
      <c r="Y19" s="28">
        <f>IF(Resultats!H32="","",Resultats!H32/AVERAGE(Resultats!$C32:Resultats!$O32))</f>
        <v>0.9721439181</v>
      </c>
      <c r="Z19" s="28">
        <f>IF(Resultats!I32="","",Resultats!I32/AVERAGE(Resultats!$C32:Resultats!$O32))</f>
        <v>1.055712164</v>
      </c>
      <c r="AA19" s="28" t="str">
        <f>IF(Resultats!J32="","",Resultats!J32/AVERAGE(Resultats!$C32:Resultats!$O32))</f>
        <v/>
      </c>
      <c r="AB19" s="28" t="str">
        <f>IF(Resultats!K32="","",Resultats!K32/AVERAGE(Resultats!$C32:Resultats!$O32))</f>
        <v/>
      </c>
      <c r="AC19" s="28">
        <f>IF(Resultats!L32="","",Resultats!L32/AVERAGE(Resultats!$C32:Resultats!$O32))</f>
        <v>0.9721439181</v>
      </c>
      <c r="AD19" s="28" t="str">
        <f>IF(Resultats!M32="","",Resultats!M32/AVERAGE(Resultats!$C32:Resultats!$O32))</f>
        <v/>
      </c>
      <c r="AE19" s="28" t="str">
        <f>IF(Resultats!N32="","",Resultats!N32/AVERAGE(Resultats!$C32:Resultats!$O32))</f>
        <v/>
      </c>
      <c r="AF19" s="28" t="str">
        <f>IF(Resultats!O32="","",Resultats!O32/AVERAGE(Resultats!$C32:Resultats!$O32))</f>
        <v/>
      </c>
    </row>
    <row r="20">
      <c r="A20" s="64" t="s">
        <v>76</v>
      </c>
      <c r="B20" s="79">
        <f>IF(Resultats!C24="","",Resultats!C24/Resultats!$B24)</f>
        <v>1</v>
      </c>
      <c r="C20" s="79">
        <f>IF(Resultats!D24="","",Resultats!D24/Resultats!$B24)</f>
        <v>0.9107178259</v>
      </c>
      <c r="D20" s="79">
        <f>IF(Resultats!E24="","",Resultats!E24/Resultats!$B24)</f>
        <v>0.9988939271</v>
      </c>
      <c r="E20" s="79">
        <f>IF(Resultats!F24="","",Resultats!F24/Resultats!$B24)</f>
        <v>0.9989019373</v>
      </c>
      <c r="F20" s="79">
        <f>IF(Resultats!G24="","",Resultats!G24/Resultats!$B24)</f>
        <v>0.9989019373</v>
      </c>
      <c r="G20" s="79">
        <f>IF(Resultats!H24="","",Resultats!H24/Resultats!$B24)</f>
        <v>0.9463905111</v>
      </c>
      <c r="H20" s="79">
        <f>IF(Resultats!I24="","",Resultats!I24/Resultats!$B24)</f>
        <v>0.9232898091</v>
      </c>
      <c r="I20" s="79" t="str">
        <f>IF(Resultats!J24="","",Resultats!J24/Resultats!$B24)</f>
        <v/>
      </c>
      <c r="J20" s="79" t="str">
        <f>IF(Resultats!K24="","",Resultats!K24/Resultats!$B24)</f>
        <v/>
      </c>
      <c r="K20" s="79">
        <f>IF(Resultats!L24="","",Resultats!L24/Resultats!$B24)</f>
        <v>0.6374343916</v>
      </c>
      <c r="L20" s="79">
        <f>IF(Resultats!M24="","",Resultats!M24/Resultats!$B24)</f>
        <v>0.9987604241</v>
      </c>
      <c r="M20" s="79" t="str">
        <f>IF(Resultats!N24="","",Resultats!N24/Resultats!$B24)</f>
        <v/>
      </c>
      <c r="N20" s="79" t="str">
        <f>IF(Resultats!O24="","",Resultats!O24/Resultats!$B24)</f>
        <v/>
      </c>
      <c r="S20" s="78" t="str">
        <f>Resultats!A33</f>
        <v>supra.in</v>
      </c>
      <c r="T20" s="28">
        <f>IF(Resultats!C33="","",Resultats!C33/AVERAGE(Resultats!$C33:Resultats!$O33))</f>
        <v>0.9634128436</v>
      </c>
      <c r="U20" s="28" t="str">
        <f>IF(Resultats!D33="","",Resultats!D33/AVERAGE(Resultats!$C33:Resultats!$O33))</f>
        <v/>
      </c>
      <c r="V20" s="28">
        <f>IF(Resultats!E33="","",Resultats!E33/AVERAGE(Resultats!$C33:Resultats!$O33))</f>
        <v>1.073174313</v>
      </c>
      <c r="W20" s="28" t="str">
        <f>IF(Resultats!F33="","",Resultats!F33/AVERAGE(Resultats!$C33:Resultats!$O33))</f>
        <v/>
      </c>
      <c r="X20" s="28">
        <f>IF(Resultats!G33="","",Resultats!G33/AVERAGE(Resultats!$C33:Resultats!$O33))</f>
        <v>0.9634128436</v>
      </c>
      <c r="Y20" s="28">
        <f>IF(Resultats!H33="","",Resultats!H33/AVERAGE(Resultats!$C33:Resultats!$O33))</f>
        <v>0.9634128436</v>
      </c>
      <c r="Z20" s="28">
        <f>IF(Resultats!I33="","",Resultats!I33/AVERAGE(Resultats!$C33:Resultats!$O33))</f>
        <v>1.073174313</v>
      </c>
      <c r="AA20" s="28" t="str">
        <f>IF(Resultats!J33="","",Resultats!J33/AVERAGE(Resultats!$C33:Resultats!$O33))</f>
        <v/>
      </c>
      <c r="AB20" s="28" t="str">
        <f>IF(Resultats!K33="","",Resultats!K33/AVERAGE(Resultats!$C33:Resultats!$O33))</f>
        <v/>
      </c>
      <c r="AC20" s="28">
        <f>IF(Resultats!L33="","",Resultats!L33/AVERAGE(Resultats!$C33:Resultats!$O33))</f>
        <v>0.9634128436</v>
      </c>
      <c r="AD20" s="28" t="str">
        <f>IF(Resultats!M33="","",Resultats!M33/AVERAGE(Resultats!$C33:Resultats!$O33))</f>
        <v/>
      </c>
      <c r="AE20" s="28" t="str">
        <f>IF(Resultats!N33="","",Resultats!N33/AVERAGE(Resultats!$C33:Resultats!$O33))</f>
        <v/>
      </c>
      <c r="AF20" s="28" t="str">
        <f>IF(Resultats!O33="","",Resultats!O33/AVERAGE(Resultats!$C33:Resultats!$O33))</f>
        <v/>
      </c>
    </row>
    <row r="21">
      <c r="A21" s="64" t="s">
        <v>77</v>
      </c>
      <c r="B21" s="79">
        <f>IF(Resultats!C25="","",Resultats!C25/Resultats!$B25)</f>
        <v>1</v>
      </c>
      <c r="C21" s="79">
        <f>IF(Resultats!D25="","",Resultats!D25/Resultats!$B25)</f>
        <v>0.3160528915</v>
      </c>
      <c r="D21" s="79">
        <f>IF(Resultats!E25="","",Resultats!E25/Resultats!$B25)</f>
        <v>0.997297891</v>
      </c>
      <c r="E21" s="79">
        <f>IF(Resultats!F25="","",Resultats!F25/Resultats!$B25)</f>
        <v>0.9974820565</v>
      </c>
      <c r="F21" s="79">
        <f>IF(Resultats!G25="","",Resultats!G25/Resultats!$B25)</f>
        <v>0.9738586431</v>
      </c>
      <c r="G21" s="79">
        <f>IF(Resultats!H25="","",Resultats!H25/Resultats!$B25)</f>
        <v>0.9718495647</v>
      </c>
      <c r="H21" s="79">
        <f>IF(Resultats!I25="","",Resultats!I25/Resultats!$B25)</f>
        <v>0.9559656691</v>
      </c>
      <c r="I21" s="79" t="str">
        <f>IF(Resultats!J25="","",Resultats!J25/Resultats!$B25)</f>
        <v/>
      </c>
      <c r="J21" s="79" t="str">
        <f>IF(Resultats!K25="","",Resultats!K25/Resultats!$B25)</f>
        <v/>
      </c>
      <c r="K21" s="79">
        <f>IF(Resultats!L25="","",Resultats!L25/Resultats!$B25)</f>
        <v>0.6942319664</v>
      </c>
      <c r="L21" s="79">
        <f>IF(Resultats!M25="","",Resultats!M25/Resultats!$B25)</f>
        <v>0.9971132182</v>
      </c>
      <c r="M21" s="79" t="str">
        <f>IF(Resultats!N25="","",Resultats!N25/Resultats!$B25)</f>
        <v/>
      </c>
      <c r="N21" s="79" t="str">
        <f>IF(Resultats!O25="","",Resultats!O25/Resultats!$B25)</f>
        <v/>
      </c>
      <c r="S21" s="78" t="str">
        <f>Resultats!A34</f>
        <v>INSATANC2D.in</v>
      </c>
      <c r="T21" s="28">
        <f>IF(Resultats!C34="","",Resultats!C34/AVERAGE(Resultats!$C34:Resultats!$O34))</f>
        <v>0.8648276642</v>
      </c>
      <c r="U21" s="28" t="str">
        <f>IF(Resultats!D34="","",Resultats!D34/AVERAGE(Resultats!$C34:Resultats!$O34))</f>
        <v/>
      </c>
      <c r="V21" s="28">
        <f>IF(Resultats!E34="","",Resultats!E34/AVERAGE(Resultats!$C34:Resultats!$O34))</f>
        <v>0.8663723632</v>
      </c>
      <c r="W21" s="28" t="str">
        <f>IF(Resultats!F34="","",Resultats!F34/AVERAGE(Resultats!$C34:Resultats!$O34))</f>
        <v/>
      </c>
      <c r="X21" s="28">
        <f>IF(Resultats!G34="","",Resultats!G34/AVERAGE(Resultats!$C34:Resultats!$O34))</f>
        <v>1.641942719</v>
      </c>
      <c r="Y21" s="28">
        <f>IF(Resultats!H34="","",Resultats!H34/AVERAGE(Resultats!$C34:Resultats!$O34))</f>
        <v>0.8288328912</v>
      </c>
      <c r="Z21" s="28">
        <f>IF(Resultats!I34="","",Resultats!I34/AVERAGE(Resultats!$C34:Resultats!$O34))</f>
        <v>0.7980243629</v>
      </c>
      <c r="AA21" s="28" t="str">
        <f>IF(Resultats!J34="","",Resultats!J34/AVERAGE(Resultats!$C34:Resultats!$O34))</f>
        <v/>
      </c>
      <c r="AB21" s="28" t="str">
        <f>IF(Resultats!K34="","",Resultats!K34/AVERAGE(Resultats!$C34:Resultats!$O34))</f>
        <v/>
      </c>
      <c r="AC21" s="28" t="str">
        <f>IF(Resultats!L34="","",Resultats!L34/AVERAGE(Resultats!$C34:Resultats!$O34))</f>
        <v/>
      </c>
      <c r="AD21" s="28" t="str">
        <f>IF(Resultats!M34="","",Resultats!M34/AVERAGE(Resultats!$C34:Resultats!$O34))</f>
        <v/>
      </c>
      <c r="AE21" s="28" t="str">
        <f>IF(Resultats!N34="","",Resultats!N34/AVERAGE(Resultats!$C34:Resultats!$O34))</f>
        <v/>
      </c>
      <c r="AF21" s="28" t="str">
        <f>IF(Resultats!O34="","",Resultats!O34/AVERAGE(Resultats!$C34:Resultats!$O34))</f>
        <v/>
      </c>
    </row>
    <row r="22">
      <c r="A22" s="78" t="str">
        <f>Resultats!A26</f>
        <v>4990_246_84901_50.in</v>
      </c>
      <c r="B22" s="79">
        <f>IF(Resultats!C26="","",Resultats!C26/Resultats!$B26)</f>
        <v>0.9999416338</v>
      </c>
      <c r="C22" s="79" t="str">
        <f>IF(Resultats!D26="","",Resultats!D26/Resultats!$B26)</f>
        <v/>
      </c>
      <c r="D22" s="79">
        <f>IF(Resultats!E26="","",Resultats!E26/Resultats!$B26)</f>
        <v>1</v>
      </c>
      <c r="E22" s="79" t="str">
        <f>IF(Resultats!F26="","",Resultats!F26/Resultats!$B26)</f>
        <v/>
      </c>
      <c r="F22" s="79">
        <f>IF(Resultats!G26="","",Resultats!G26/Resultats!$B26)</f>
        <v>0.9636834104</v>
      </c>
      <c r="G22" s="79">
        <f>IF(Resultats!H26="","",Resultats!H26/Resultats!$B26)</f>
        <v>0.9609952279</v>
      </c>
      <c r="H22" s="79">
        <f>IF(Resultats!I26="","",Resultats!I26/Resultats!$B26)</f>
        <v>0.9516049328</v>
      </c>
      <c r="I22" s="79" t="str">
        <f>IF(Resultats!J26="","",Resultats!J26/Resultats!$B26)</f>
        <v/>
      </c>
      <c r="J22" s="79" t="str">
        <f>IF(Resultats!K26="","",Resultats!K26/Resultats!$B26)</f>
        <v/>
      </c>
      <c r="K22" s="79">
        <f>IF(Resultats!L26="","",Resultats!L26/Resultats!$B26)</f>
        <v>0.4665730954</v>
      </c>
      <c r="L22" s="79" t="str">
        <f>IF(Resultats!M26="","",Resultats!M26/Resultats!$B26)</f>
        <v/>
      </c>
      <c r="M22" s="79" t="str">
        <f>IF(Resultats!N26="","",Resultats!N26/Resultats!$B26)</f>
        <v/>
      </c>
      <c r="N22" s="79" t="str">
        <f>IF(Resultats!O26="","",Resultats!O26/Resultats!$B26)</f>
        <v/>
      </c>
      <c r="S22" s="78" t="str">
        <f>Resultats!A35</f>
        <v>INSTANCED.in</v>
      </c>
      <c r="T22" s="28">
        <f>IF(Resultats!C35="","",Resultats!C35/AVERAGE(Resultats!$C35:Resultats!$O35))</f>
        <v>0.9957674148</v>
      </c>
      <c r="U22" s="28" t="str">
        <f>IF(Resultats!D35="","",Resultats!D35/AVERAGE(Resultats!$C35:Resultats!$O35))</f>
        <v/>
      </c>
      <c r="V22" s="28">
        <f>IF(Resultats!E35="","",Resultats!E35/AVERAGE(Resultats!$C35:Resultats!$O35))</f>
        <v>1.003012966</v>
      </c>
      <c r="W22" s="28" t="str">
        <f>IF(Resultats!F35="","",Resultats!F35/AVERAGE(Resultats!$C35:Resultats!$O35))</f>
        <v/>
      </c>
      <c r="X22" s="28">
        <f>IF(Resultats!G35="","",Resultats!G35/AVERAGE(Resultats!$C35:Resultats!$O35))</f>
        <v>1.001236996</v>
      </c>
      <c r="Y22" s="28">
        <f>IF(Resultats!H35="","",Resultats!H35/AVERAGE(Resultats!$C35:Resultats!$O35))</f>
        <v>0.9955967839</v>
      </c>
      <c r="Z22" s="28">
        <f>IF(Resultats!I35="","",Resultats!I35/AVERAGE(Resultats!$C35:Resultats!$O35))</f>
        <v>1.00438584</v>
      </c>
      <c r="AA22" s="28" t="str">
        <f>IF(Resultats!J35="","",Resultats!J35/AVERAGE(Resultats!$C35:Resultats!$O35))</f>
        <v/>
      </c>
      <c r="AB22" s="28" t="str">
        <f>IF(Resultats!K35="","",Resultats!K35/AVERAGE(Resultats!$C35:Resultats!$O35))</f>
        <v/>
      </c>
      <c r="AC22" s="28" t="str">
        <f>IF(Resultats!L35="","",Resultats!L35/AVERAGE(Resultats!$C35:Resultats!$O35))</f>
        <v/>
      </c>
      <c r="AD22" s="28" t="str">
        <f>IF(Resultats!M35="","",Resultats!M35/AVERAGE(Resultats!$C35:Resultats!$O35))</f>
        <v/>
      </c>
      <c r="AE22" s="28" t="str">
        <f>IF(Resultats!N35="","",Resultats!N35/AVERAGE(Resultats!$C35:Resultats!$O35))</f>
        <v/>
      </c>
      <c r="AF22" s="28" t="str">
        <f>IF(Resultats!O35="","",Resultats!O35/AVERAGE(Resultats!$C35:Resultats!$O35))</f>
        <v/>
      </c>
    </row>
    <row r="23">
      <c r="A23" s="78" t="str">
        <f>Resultats!A27</f>
        <v>6970_311_100000_69.in</v>
      </c>
      <c r="B23" s="79">
        <f>IF(Resultats!C27="","",Resultats!C27/Resultats!$B27)</f>
        <v>0.9999134208</v>
      </c>
      <c r="C23" s="79" t="str">
        <f>IF(Resultats!D27="","",Resultats!D27/Resultats!$B27)</f>
        <v/>
      </c>
      <c r="D23" s="79">
        <f>IF(Resultats!E27="","",Resultats!E27/Resultats!$B27)</f>
        <v>1</v>
      </c>
      <c r="E23" s="79" t="str">
        <f>IF(Resultats!F27="","",Resultats!F27/Resultats!$B27)</f>
        <v/>
      </c>
      <c r="F23" s="79">
        <f>IF(Resultats!G27="","",Resultats!G27/Resultats!$B27)</f>
        <v>0.9832085377</v>
      </c>
      <c r="G23" s="79">
        <f>IF(Resultats!H27="","",Resultats!H27/Resultats!$B27)</f>
        <v>0.981175288</v>
      </c>
      <c r="H23" s="79">
        <f>IF(Resultats!I27="","",Resultats!I27/Resultats!$B27)</f>
        <v>0.9660870943</v>
      </c>
      <c r="I23" s="79" t="str">
        <f>IF(Resultats!J27="","",Resultats!J27/Resultats!$B27)</f>
        <v/>
      </c>
      <c r="J23" s="79" t="str">
        <f>IF(Resultats!K27="","",Resultats!K27/Resultats!$B27)</f>
        <v/>
      </c>
      <c r="K23" s="79">
        <f>IF(Resultats!L27="","",Resultats!L27/Resultats!$B27)</f>
        <v>0.6819831971</v>
      </c>
      <c r="L23" s="79" t="str">
        <f>IF(Resultats!M27="","",Resultats!M27/Resultats!$B27)</f>
        <v/>
      </c>
      <c r="M23" s="79" t="str">
        <f>IF(Resultats!N27="","",Resultats!N27/Resultats!$B27)</f>
        <v/>
      </c>
      <c r="N23" s="79" t="str">
        <f>IF(Resultats!O27="","",Resultats!O27/Resultats!$B27)</f>
        <v/>
      </c>
      <c r="S23" s="78" t="str">
        <f>Resultats!A36</f>
        <v>2_2_2_1.in</v>
      </c>
      <c r="T23" s="28">
        <f>IF(Resultats!C36="","",Resultats!C36/AVERAGE(Resultats!$C36:Resultats!$O36))</f>
        <v>0.09543953497</v>
      </c>
      <c r="U23" s="28" t="str">
        <f>IF(Resultats!D36="","",Resultats!D36/AVERAGE(Resultats!$C36:Resultats!$O36))</f>
        <v/>
      </c>
      <c r="V23" s="28">
        <f>IF(Resultats!E36="","",Resultats!E36/AVERAGE(Resultats!$C36:Resultats!$O36))</f>
        <v>1.904560465</v>
      </c>
      <c r="W23" s="28" t="str">
        <f>IF(Resultats!F36="","",Resultats!F36/AVERAGE(Resultats!$C36:Resultats!$O36))</f>
        <v/>
      </c>
      <c r="X23" s="28" t="str">
        <f>IF(Resultats!G36="","",Resultats!G36/AVERAGE(Resultats!$C36:Resultats!$O36))</f>
        <v/>
      </c>
      <c r="Y23" s="28">
        <f>IF(Resultats!H36="","",Resultats!H36/AVERAGE(Resultats!$C36:Resultats!$O36))</f>
        <v>0.09543953497</v>
      </c>
      <c r="Z23" s="28">
        <f>IF(Resultats!I36="","",Resultats!I36/AVERAGE(Resultats!$C36:Resultats!$O36))</f>
        <v>1.904560465</v>
      </c>
      <c r="AA23" s="28" t="str">
        <f>IF(Resultats!J36="","",Resultats!J36/AVERAGE(Resultats!$C36:Resultats!$O36))</f>
        <v/>
      </c>
      <c r="AB23" s="28" t="str">
        <f>IF(Resultats!K36="","",Resultats!K36/AVERAGE(Resultats!$C36:Resultats!$O36))</f>
        <v/>
      </c>
      <c r="AC23" s="28" t="str">
        <f>IF(Resultats!L36="","",Resultats!L36/AVERAGE(Resultats!$C36:Resultats!$O36))</f>
        <v/>
      </c>
      <c r="AD23" s="28" t="str">
        <f>IF(Resultats!M36="","",Resultats!M36/AVERAGE(Resultats!$C36:Resultats!$O36))</f>
        <v/>
      </c>
      <c r="AE23" s="28" t="str">
        <f>IF(Resultats!N36="","",Resultats!N36/AVERAGE(Resultats!$C36:Resultats!$O36))</f>
        <v/>
      </c>
      <c r="AF23" s="28" t="str">
        <f>IF(Resultats!O36="","",Resultats!O36/AVERAGE(Resultats!$C36:Resultats!$O36))</f>
        <v/>
      </c>
    </row>
    <row r="24">
      <c r="A24" s="78" t="str">
        <f>Resultats!A28</f>
        <v>10000_500_100000_100.in</v>
      </c>
      <c r="B24" s="79">
        <f>IF(Resultats!C28="","",Resultats!C28/Resultats!$B28)</f>
        <v>0.9999772214</v>
      </c>
      <c r="C24" s="79" t="str">
        <f>IF(Resultats!D28="","",Resultats!D28/Resultats!$B28)</f>
        <v/>
      </c>
      <c r="D24" s="79">
        <f>IF(Resultats!E28="","",Resultats!E28/Resultats!$B28)</f>
        <v>0.9999960385</v>
      </c>
      <c r="E24" s="79" t="str">
        <f>IF(Resultats!F28="","",Resultats!F28/Resultats!$B28)</f>
        <v/>
      </c>
      <c r="F24" s="79">
        <f>IF(Resultats!G28="","",Resultats!G28/Resultats!$B28)</f>
        <v>1</v>
      </c>
      <c r="G24" s="79">
        <f>IF(Resultats!H28="","",Resultats!H28/Resultats!$B28)</f>
        <v>0.9988125427</v>
      </c>
      <c r="H24" s="79">
        <f>IF(Resultats!I28="","",Resultats!I28/Resultats!$B28)</f>
        <v>0.9935843632</v>
      </c>
      <c r="I24" s="79" t="str">
        <f>IF(Resultats!J28="","",Resultats!J28/Resultats!$B28)</f>
        <v/>
      </c>
      <c r="J24" s="79" t="str">
        <f>IF(Resultats!K28="","",Resultats!K28/Resultats!$B28)</f>
        <v/>
      </c>
      <c r="K24" s="79">
        <f>IF(Resultats!L28="","",Resultats!L28/Resultats!$B28)</f>
        <v>0.5547535184</v>
      </c>
      <c r="L24" s="79" t="str">
        <f>IF(Resultats!M28="","",Resultats!M28/Resultats!$B28)</f>
        <v/>
      </c>
      <c r="M24" s="79" t="str">
        <f>IF(Resultats!N28="","",Resultats!N28/Resultats!$B28)</f>
        <v/>
      </c>
      <c r="N24" s="79" t="str">
        <f>IF(Resultats!O28="","",Resultats!O28/Resultats!$B28)</f>
        <v/>
      </c>
      <c r="S24" s="78" t="str">
        <f>Resultats!A37</f>
        <v>4_2_4_2.in</v>
      </c>
      <c r="T24" s="28">
        <f>IF(Resultats!C37="","",Resultats!C37/AVERAGE(Resultats!$C37:Resultats!$O37))</f>
        <v>0.6835533095</v>
      </c>
      <c r="U24" s="28" t="str">
        <f>IF(Resultats!D37="","",Resultats!D37/AVERAGE(Resultats!$C37:Resultats!$O37))</f>
        <v/>
      </c>
      <c r="V24" s="28">
        <f>IF(Resultats!E37="","",Resultats!E37/AVERAGE(Resultats!$C37:Resultats!$O37))</f>
        <v>1.30050005</v>
      </c>
      <c r="W24" s="28" t="str">
        <f>IF(Resultats!F37="","",Resultats!F37/AVERAGE(Resultats!$C37:Resultats!$O37))</f>
        <v/>
      </c>
      <c r="X24" s="28" t="str">
        <f>IF(Resultats!G37="","",Resultats!G37/AVERAGE(Resultats!$C37:Resultats!$O37))</f>
        <v/>
      </c>
      <c r="Y24" s="28">
        <f>IF(Resultats!H37="","",Resultats!H37/AVERAGE(Resultats!$C37:Resultats!$O37))</f>
        <v>0.6835533095</v>
      </c>
      <c r="Z24" s="28">
        <f>IF(Resultats!I37="","",Resultats!I37/AVERAGE(Resultats!$C37:Resultats!$O37))</f>
        <v>1.332393331</v>
      </c>
      <c r="AA24" s="28" t="str">
        <f>IF(Resultats!J37="","",Resultats!J37/AVERAGE(Resultats!$C37:Resultats!$O37))</f>
        <v/>
      </c>
      <c r="AB24" s="28" t="str">
        <f>IF(Resultats!K37="","",Resultats!K37/AVERAGE(Resultats!$C37:Resultats!$O37))</f>
        <v/>
      </c>
      <c r="AC24" s="28" t="str">
        <f>IF(Resultats!L37="","",Resultats!L37/AVERAGE(Resultats!$C37:Resultats!$O37))</f>
        <v/>
      </c>
      <c r="AD24" s="28" t="str">
        <f>IF(Resultats!M37="","",Resultats!M37/AVERAGE(Resultats!$C37:Resultats!$O37))</f>
        <v/>
      </c>
      <c r="AE24" s="28" t="str">
        <f>IF(Resultats!N37="","",Resultats!N37/AVERAGE(Resultats!$C37:Resultats!$O37))</f>
        <v/>
      </c>
      <c r="AF24" s="28" t="str">
        <f>IF(Resultats!O37="","",Resultats!O37/AVERAGE(Resultats!$C37:Resultats!$O37))</f>
        <v/>
      </c>
    </row>
    <row r="25">
      <c r="A25" s="78" t="str">
        <f>Resultats!A29</f>
        <v>3860_246_84901_66.in</v>
      </c>
      <c r="B25" s="79">
        <f>IF(Resultats!C29="","",Resultats!C29/Resultats!$B29)</f>
        <v>0.9993871709</v>
      </c>
      <c r="C25" s="79" t="str">
        <f>IF(Resultats!D29="","",Resultats!D29/Resultats!$B29)</f>
        <v/>
      </c>
      <c r="D25" s="79">
        <f>IF(Resultats!E29="","",Resultats!E29/Resultats!$B29)</f>
        <v>0.9994200372</v>
      </c>
      <c r="E25" s="79" t="str">
        <f>IF(Resultats!F29="","",Resultats!F29/Resultats!$B29)</f>
        <v/>
      </c>
      <c r="F25" s="79">
        <f>IF(Resultats!G29="","",Resultats!G29/Resultats!$B29)</f>
        <v>1</v>
      </c>
      <c r="G25" s="79">
        <f>IF(Resultats!H29="","",Resultats!H29/Resultats!$B29)</f>
        <v>0.9991500283</v>
      </c>
      <c r="H25" s="79">
        <f>IF(Resultats!I29="","",Resultats!I29/Resultats!$B29)</f>
        <v>0.99566115</v>
      </c>
      <c r="I25" s="79" t="str">
        <f>IF(Resultats!J29="","",Resultats!J29/Resultats!$B29)</f>
        <v/>
      </c>
      <c r="J25" s="79" t="str">
        <f>IF(Resultats!K29="","",Resultats!K29/Resultats!$B29)</f>
        <v/>
      </c>
      <c r="K25" s="79">
        <f>IF(Resultats!L29="","",Resultats!L29/Resultats!$B29)</f>
        <v>0.6221807714</v>
      </c>
      <c r="L25" s="79" t="str">
        <f>IF(Resultats!M29="","",Resultats!M29/Resultats!$B29)</f>
        <v/>
      </c>
      <c r="M25" s="79" t="str">
        <f>IF(Resultats!N29="","",Resultats!N29/Resultats!$B29)</f>
        <v/>
      </c>
      <c r="N25" s="79" t="str">
        <f>IF(Resultats!O29="","",Resultats!O29/Resultats!$B29)</f>
        <v/>
      </c>
      <c r="S25" s="78" t="str">
        <f>Resultats!A38</f>
        <v>6_2_6_2.in</v>
      </c>
      <c r="T25" s="28">
        <f>IF(Resultats!C38="","",Resultats!C38/AVERAGE(Resultats!$C38:Resultats!$O38))</f>
        <v>0.8572774554</v>
      </c>
      <c r="U25" s="28" t="str">
        <f>IF(Resultats!D38="","",Resultats!D38/AVERAGE(Resultats!$C38:Resultats!$O38))</f>
        <v/>
      </c>
      <c r="V25" s="28">
        <f>IF(Resultats!E38="","",Resultats!E38/AVERAGE(Resultats!$C38:Resultats!$O38))</f>
        <v>0.8572774554</v>
      </c>
      <c r="W25" s="28" t="str">
        <f>IF(Resultats!F38="","",Resultats!F38/AVERAGE(Resultats!$C38:Resultats!$O38))</f>
        <v/>
      </c>
      <c r="X25" s="28" t="str">
        <f>IF(Resultats!G38="","",Resultats!G38/AVERAGE(Resultats!$C38:Resultats!$O38))</f>
        <v/>
      </c>
      <c r="Y25" s="28">
        <f>IF(Resultats!H38="","",Resultats!H38/AVERAGE(Resultats!$C38:Resultats!$O38))</f>
        <v>0.8572774554</v>
      </c>
      <c r="Z25" s="28">
        <f>IF(Resultats!I38="","",Resultats!I38/AVERAGE(Resultats!$C38:Resultats!$O38))</f>
        <v>1.428167634</v>
      </c>
      <c r="AA25" s="28" t="str">
        <f>IF(Resultats!J38="","",Resultats!J38/AVERAGE(Resultats!$C38:Resultats!$O38))</f>
        <v/>
      </c>
      <c r="AB25" s="28" t="str">
        <f>IF(Resultats!K38="","",Resultats!K38/AVERAGE(Resultats!$C38:Resultats!$O38))</f>
        <v/>
      </c>
      <c r="AC25" s="28" t="str">
        <f>IF(Resultats!L38="","",Resultats!L38/AVERAGE(Resultats!$C38:Resultats!$O38))</f>
        <v/>
      </c>
      <c r="AD25" s="28" t="str">
        <f>IF(Resultats!M38="","",Resultats!M38/AVERAGE(Resultats!$C38:Resultats!$O38))</f>
        <v/>
      </c>
      <c r="AE25" s="28" t="str">
        <f>IF(Resultats!N38="","",Resultats!N38/AVERAGE(Resultats!$C38:Resultats!$O38))</f>
        <v/>
      </c>
      <c r="AF25" s="28" t="str">
        <f>IF(Resultats!O38="","",Resultats!O38/AVERAGE(Resultats!$C38:Resultats!$O38))</f>
        <v/>
      </c>
    </row>
    <row r="26">
      <c r="A26" s="78" t="str">
        <f>Resultats!A30</f>
        <v>regional_instance.in</v>
      </c>
      <c r="B26" s="79">
        <f>IF(Resultats!C30="","",Resultats!C30/Resultats!$B30)</f>
        <v>0.9965159014</v>
      </c>
      <c r="C26" s="79" t="str">
        <f>IF(Resultats!D30="","",Resultats!D30/Resultats!$B30)</f>
        <v/>
      </c>
      <c r="D26" s="79">
        <f>IF(Resultats!E30="","",Resultats!E30/Resultats!$B30)</f>
        <v>1</v>
      </c>
      <c r="E26" s="79" t="str">
        <f>IF(Resultats!F30="","",Resultats!F30/Resultats!$B30)</f>
        <v/>
      </c>
      <c r="F26" s="79">
        <f>IF(Resultats!G30="","",Resultats!G30/Resultats!$B30)</f>
        <v>0.9980027594</v>
      </c>
      <c r="G26" s="79">
        <f>IF(Resultats!H30="","",Resultats!H30/Resultats!$B30)</f>
        <v>0.9895974769</v>
      </c>
      <c r="H26" s="79">
        <f>IF(Resultats!I30="","",Resultats!I30/Resultats!$B30)</f>
        <v>0.9731057955</v>
      </c>
      <c r="I26" s="79" t="str">
        <f>IF(Resultats!J30="","",Resultats!J30/Resultats!$B30)</f>
        <v/>
      </c>
      <c r="J26" s="79" t="str">
        <f>IF(Resultats!K30="","",Resultats!K30/Resultats!$B30)</f>
        <v/>
      </c>
      <c r="K26" s="79">
        <f>IF(Resultats!L30="","",Resultats!L30/Resultats!$B30)</f>
        <v>0.9693724109</v>
      </c>
      <c r="L26" s="79" t="str">
        <f>IF(Resultats!M30="","",Resultats!M30/Resultats!$B30)</f>
        <v/>
      </c>
      <c r="M26" s="79" t="str">
        <f>IF(Resultats!N30="","",Resultats!N30/Resultats!$B30)</f>
        <v/>
      </c>
      <c r="N26" s="79" t="str">
        <f>IF(Resultats!O30="","",Resultats!O30/Resultats!$B30)</f>
        <v/>
      </c>
      <c r="S26" s="78" t="str">
        <f>Resultats!A39</f>
        <v>8_2_8_2.in</v>
      </c>
      <c r="T26" s="28">
        <f>IF(Resultats!C39="","",Resultats!C39/AVERAGE(Resultats!$C39:Resultats!$O39))</f>
        <v>0.7559934072</v>
      </c>
      <c r="U26" s="28" t="str">
        <f>IF(Resultats!D39="","",Resultats!D39/AVERAGE(Resultats!$C39:Resultats!$O39))</f>
        <v/>
      </c>
      <c r="V26" s="28">
        <f>IF(Resultats!E39="","",Resultats!E39/AVERAGE(Resultats!$C39:Resultats!$O39))</f>
        <v>0.9908925191</v>
      </c>
      <c r="W26" s="28" t="str">
        <f>IF(Resultats!F39="","",Resultats!F39/AVERAGE(Resultats!$C39:Resultats!$O39))</f>
        <v/>
      </c>
      <c r="X26" s="28" t="str">
        <f>IF(Resultats!G39="","",Resultats!G39/AVERAGE(Resultats!$C39:Resultats!$O39))</f>
        <v/>
      </c>
      <c r="Y26" s="28">
        <f>IF(Resultats!H39="","",Resultats!H39/AVERAGE(Resultats!$C39:Resultats!$O39))</f>
        <v>0.7559934072</v>
      </c>
      <c r="Z26" s="28">
        <f>IF(Resultats!I39="","",Resultats!I39/AVERAGE(Resultats!$C39:Resultats!$O39))</f>
        <v>1.497120666</v>
      </c>
      <c r="AA26" s="28" t="str">
        <f>IF(Resultats!J39="","",Resultats!J39/AVERAGE(Resultats!$C39:Resultats!$O39))</f>
        <v/>
      </c>
      <c r="AB26" s="28" t="str">
        <f>IF(Resultats!K39="","",Resultats!K39/AVERAGE(Resultats!$C39:Resultats!$O39))</f>
        <v/>
      </c>
      <c r="AC26" s="28" t="str">
        <f>IF(Resultats!L39="","",Resultats!L39/AVERAGE(Resultats!$C39:Resultats!$O39))</f>
        <v/>
      </c>
      <c r="AD26" s="28" t="str">
        <f>IF(Resultats!M39="","",Resultats!M39/AVERAGE(Resultats!$C39:Resultats!$O39))</f>
        <v/>
      </c>
      <c r="AE26" s="28" t="str">
        <f>IF(Resultats!N39="","",Resultats!N39/AVERAGE(Resultats!$C39:Resultats!$O39))</f>
        <v/>
      </c>
      <c r="AF26" s="28" t="str">
        <f>IF(Resultats!O39="","",Resultats!O39/AVERAGE(Resultats!$C39:Resultats!$O39))</f>
        <v/>
      </c>
    </row>
    <row r="27">
      <c r="A27" s="78" t="str">
        <f>Resultats!A31</f>
        <v>zipF_instance.in</v>
      </c>
      <c r="B27" s="79">
        <f>IF(Resultats!C31="","",Resultats!C31/Resultats!$B31)</f>
        <v>0.9917731599</v>
      </c>
      <c r="C27" s="79" t="str">
        <f>IF(Resultats!D31="","",Resultats!D31/Resultats!$B31)</f>
        <v/>
      </c>
      <c r="D27" s="79">
        <f>IF(Resultats!E31="","",Resultats!E31/Resultats!$B31)</f>
        <v>1</v>
      </c>
      <c r="E27" s="79" t="str">
        <f>IF(Resultats!F31="","",Resultats!F31/Resultats!$B31)</f>
        <v/>
      </c>
      <c r="F27" s="79">
        <f>IF(Resultats!G31="","",Resultats!G31/Resultats!$B31)</f>
        <v>0.9931777297</v>
      </c>
      <c r="G27" s="79">
        <f>IF(Resultats!H31="","",Resultats!H31/Resultats!$B31)</f>
        <v>0.9842788217</v>
      </c>
      <c r="H27" s="79">
        <f>IF(Resultats!I31="","",Resultats!I31/Resultats!$B31)</f>
        <v>0.9790356503</v>
      </c>
      <c r="I27" s="79" t="str">
        <f>IF(Resultats!J31="","",Resultats!J31/Resultats!$B31)</f>
        <v/>
      </c>
      <c r="J27" s="79" t="str">
        <f>IF(Resultats!K31="","",Resultats!K31/Resultats!$B31)</f>
        <v/>
      </c>
      <c r="K27" s="79">
        <f>IF(Resultats!L31="","",Resultats!L31/Resultats!$B31)</f>
        <v>0.9830805611</v>
      </c>
      <c r="L27" s="79" t="str">
        <f>IF(Resultats!M31="","",Resultats!M31/Resultats!$B31)</f>
        <v/>
      </c>
      <c r="M27" s="79" t="str">
        <f>IF(Resultats!N31="","",Resultats!N31/Resultats!$B31)</f>
        <v/>
      </c>
      <c r="N27" s="79" t="str">
        <f>IF(Resultats!O31="","",Resultats!O31/Resultats!$B31)</f>
        <v/>
      </c>
      <c r="S27" s="78" t="str">
        <f>Resultats!A40</f>
        <v>20_2_20_2.in</v>
      </c>
      <c r="T27" s="28">
        <f>IF(Resultats!C40="","",Resultats!C40/AVERAGE(Resultats!$C40:Resultats!$O40))</f>
        <v>0.9502479255</v>
      </c>
      <c r="U27" s="28" t="str">
        <f>IF(Resultats!D40="","",Resultats!D40/AVERAGE(Resultats!$C40:Resultats!$O40))</f>
        <v/>
      </c>
      <c r="V27" s="28">
        <f>IF(Resultats!E40="","",Resultats!E40/AVERAGE(Resultats!$C40:Resultats!$O40))</f>
        <v>1.049752075</v>
      </c>
      <c r="W27" s="28" t="str">
        <f>IF(Resultats!F40="","",Resultats!F40/AVERAGE(Resultats!$C40:Resultats!$O40))</f>
        <v/>
      </c>
      <c r="X27" s="28" t="str">
        <f>IF(Resultats!G40="","",Resultats!G40/AVERAGE(Resultats!$C40:Resultats!$O40))</f>
        <v/>
      </c>
      <c r="Y27" s="28">
        <f>IF(Resultats!H40="","",Resultats!H40/AVERAGE(Resultats!$C40:Resultats!$O40))</f>
        <v>0.9502479255</v>
      </c>
      <c r="Z27" s="28">
        <f>IF(Resultats!I40="","",Resultats!I40/AVERAGE(Resultats!$C40:Resultats!$O40))</f>
        <v>1.049752075</v>
      </c>
      <c r="AA27" s="28" t="str">
        <f>IF(Resultats!J40="","",Resultats!J40/AVERAGE(Resultats!$C40:Resultats!$O40))</f>
        <v/>
      </c>
      <c r="AB27" s="28" t="str">
        <f>IF(Resultats!K40="","",Resultats!K40/AVERAGE(Resultats!$C40:Resultats!$O40))</f>
        <v/>
      </c>
      <c r="AC27" s="28" t="str">
        <f>IF(Resultats!L40="","",Resultats!L40/AVERAGE(Resultats!$C40:Resultats!$O40))</f>
        <v/>
      </c>
      <c r="AD27" s="28" t="str">
        <f>IF(Resultats!M40="","",Resultats!M40/AVERAGE(Resultats!$C40:Resultats!$O40))</f>
        <v/>
      </c>
      <c r="AE27" s="28" t="str">
        <f>IF(Resultats!N40="","",Resultats!N40/AVERAGE(Resultats!$C40:Resultats!$O40))</f>
        <v/>
      </c>
      <c r="AF27" s="28" t="str">
        <f>IF(Resultats!O40="","",Resultats!O40/AVERAGE(Resultats!$C40:Resultats!$O40))</f>
        <v/>
      </c>
    </row>
    <row r="28">
      <c r="A28" s="78" t="str">
        <f>Resultats!A32</f>
        <v>big.in</v>
      </c>
      <c r="B28" s="79">
        <f>IF(Resultats!C32="","",Resultats!C32/Resultats!$B32)</f>
        <v>0.9208418274</v>
      </c>
      <c r="C28" s="79" t="str">
        <f>IF(Resultats!D32="","",Resultats!D32/Resultats!$B32)</f>
        <v/>
      </c>
      <c r="D28" s="79">
        <f>IF(Resultats!E32="","",Resultats!E32/Resultats!$B32)</f>
        <v>1</v>
      </c>
      <c r="E28" s="79" t="str">
        <f>IF(Resultats!F32="","",Resultats!F32/Resultats!$B32)</f>
        <v/>
      </c>
      <c r="F28" s="79">
        <f>IF(Resultats!G32="","",Resultats!G32/Resultats!$B32)</f>
        <v>0.9208418274</v>
      </c>
      <c r="G28" s="79">
        <f>IF(Resultats!H32="","",Resultats!H32/Resultats!$B32)</f>
        <v>0.9208418274</v>
      </c>
      <c r="H28" s="79">
        <f>IF(Resultats!I32="","",Resultats!I32/Resultats!$B32)</f>
        <v>1</v>
      </c>
      <c r="I28" s="79" t="str">
        <f>IF(Resultats!J32="","",Resultats!J32/Resultats!$B32)</f>
        <v/>
      </c>
      <c r="J28" s="79" t="str">
        <f>IF(Resultats!K32="","",Resultats!K32/Resultats!$B32)</f>
        <v/>
      </c>
      <c r="K28" s="79">
        <f>IF(Resultats!L32="","",Resultats!L32/Resultats!$B32)</f>
        <v>0.9208418274</v>
      </c>
      <c r="L28" s="79" t="str">
        <f>IF(Resultats!M32="","",Resultats!M32/Resultats!$B32)</f>
        <v/>
      </c>
      <c r="M28" s="79" t="str">
        <f>IF(Resultats!N32="","",Resultats!N32/Resultats!$B32)</f>
        <v/>
      </c>
      <c r="N28" s="79" t="str">
        <f>IF(Resultats!O32="","",Resultats!O32/Resultats!$B32)</f>
        <v/>
      </c>
      <c r="S28" s="78" t="str">
        <f>Resultats!A41</f>
        <v>realistic_large_clustered.in</v>
      </c>
      <c r="T28" s="28">
        <f>IF(Resultats!C41="","",Resultats!C41/AVERAGE(Resultats!$C41:Resultats!$O41))</f>
        <v>1.021580302</v>
      </c>
      <c r="U28" s="28" t="str">
        <f>IF(Resultats!D41="","",Resultats!D41/AVERAGE(Resultats!$C41:Resultats!$O41))</f>
        <v/>
      </c>
      <c r="V28" s="28">
        <f>IF(Resultats!E41="","",Resultats!E41/AVERAGE(Resultats!$C41:Resultats!$O41))</f>
        <v>1.024218757</v>
      </c>
      <c r="W28" s="28" t="str">
        <f>IF(Resultats!F41="","",Resultats!F41/AVERAGE(Resultats!$C41:Resultats!$O41))</f>
        <v/>
      </c>
      <c r="X28" s="28" t="str">
        <f>IF(Resultats!G41="","",Resultats!G41/AVERAGE(Resultats!$C41:Resultats!$O41))</f>
        <v/>
      </c>
      <c r="Y28" s="28">
        <f>IF(Resultats!H41="","",Resultats!H41/AVERAGE(Resultats!$C41:Resultats!$O41))</f>
        <v>1.018863478</v>
      </c>
      <c r="Z28" s="28">
        <f>IF(Resultats!I41="","",Resultats!I41/AVERAGE(Resultats!$C41:Resultats!$O41))</f>
        <v>0.9353374628</v>
      </c>
      <c r="AA28" s="28" t="str">
        <f>IF(Resultats!J41="","",Resultats!J41/AVERAGE(Resultats!$C41:Resultats!$O41))</f>
        <v/>
      </c>
      <c r="AB28" s="28" t="str">
        <f>IF(Resultats!K41="","",Resultats!K41/AVERAGE(Resultats!$C41:Resultats!$O41))</f>
        <v/>
      </c>
      <c r="AC28" s="28" t="str">
        <f>IF(Resultats!L41="","",Resultats!L41/AVERAGE(Resultats!$C41:Resultats!$O41))</f>
        <v/>
      </c>
      <c r="AD28" s="28" t="str">
        <f>IF(Resultats!M41="","",Resultats!M41/AVERAGE(Resultats!$C41:Resultats!$O41))</f>
        <v/>
      </c>
      <c r="AE28" s="28" t="str">
        <f>IF(Resultats!N41="","",Resultats!N41/AVERAGE(Resultats!$C41:Resultats!$O41))</f>
        <v/>
      </c>
      <c r="AF28" s="28" t="str">
        <f>IF(Resultats!O41="","",Resultats!O41/AVERAGE(Resultats!$C41:Resultats!$O41))</f>
        <v/>
      </c>
    </row>
    <row r="29">
      <c r="A29" s="78" t="str">
        <f>Resultats!A33</f>
        <v>supra.in</v>
      </c>
      <c r="B29" s="79">
        <f>IF(Resultats!C33="","",Resultats!C33/Resultats!$B33)</f>
        <v>0.8977226085</v>
      </c>
      <c r="C29" s="79" t="str">
        <f>IF(Resultats!D33="","",Resultats!D33/Resultats!$B33)</f>
        <v/>
      </c>
      <c r="D29" s="79">
        <f>IF(Resultats!E33="","",Resultats!E33/Resultats!$B33)</f>
        <v>1</v>
      </c>
      <c r="E29" s="79" t="str">
        <f>IF(Resultats!F33="","",Resultats!F33/Resultats!$B33)</f>
        <v/>
      </c>
      <c r="F29" s="79">
        <f>IF(Resultats!G33="","",Resultats!G33/Resultats!$B33)</f>
        <v>0.8977226085</v>
      </c>
      <c r="G29" s="79">
        <f>IF(Resultats!H33="","",Resultats!H33/Resultats!$B33)</f>
        <v>0.8977226085</v>
      </c>
      <c r="H29" s="79">
        <f>IF(Resultats!I33="","",Resultats!I33/Resultats!$B33)</f>
        <v>1</v>
      </c>
      <c r="I29" s="79" t="str">
        <f>IF(Resultats!J33="","",Resultats!J33/Resultats!$B33)</f>
        <v/>
      </c>
      <c r="J29" s="79" t="str">
        <f>IF(Resultats!K33="","",Resultats!K33/Resultats!$B33)</f>
        <v/>
      </c>
      <c r="K29" s="79">
        <f>IF(Resultats!L33="","",Resultats!L33/Resultats!$B33)</f>
        <v>0.8977226085</v>
      </c>
      <c r="L29" s="79" t="str">
        <f>IF(Resultats!M33="","",Resultats!M33/Resultats!$B33)</f>
        <v/>
      </c>
      <c r="M29" s="79" t="str">
        <f>IF(Resultats!N33="","",Resultats!N33/Resultats!$B33)</f>
        <v/>
      </c>
      <c r="N29" s="79" t="str">
        <f>IF(Resultats!O33="","",Resultats!O33/Resultats!$B33)</f>
        <v/>
      </c>
      <c r="S29" s="78" t="str">
        <f>Resultats!A42</f>
        <v>realistic_large_random.in</v>
      </c>
      <c r="T29" s="28">
        <f>IF(Resultats!C42="","",Resultats!C42/AVERAGE(Resultats!$C42:Resultats!$O42))</f>
        <v>1.063910726</v>
      </c>
      <c r="U29" s="28" t="str">
        <f>IF(Resultats!D42="","",Resultats!D42/AVERAGE(Resultats!$C42:Resultats!$O42))</f>
        <v/>
      </c>
      <c r="V29" s="28">
        <f>IF(Resultats!E42="","",Resultats!E42/AVERAGE(Resultats!$C42:Resultats!$O42))</f>
        <v>1.064281105</v>
      </c>
      <c r="W29" s="28" t="str">
        <f>IF(Resultats!F42="","",Resultats!F42/AVERAGE(Resultats!$C42:Resultats!$O42))</f>
        <v/>
      </c>
      <c r="X29" s="28" t="str">
        <f>IF(Resultats!G42="","",Resultats!G42/AVERAGE(Resultats!$C42:Resultats!$O42))</f>
        <v/>
      </c>
      <c r="Y29" s="28">
        <f>IF(Resultats!H42="","",Resultats!H42/AVERAGE(Resultats!$C42:Resultats!$O42))</f>
        <v>1.045835544</v>
      </c>
      <c r="Z29" s="28">
        <f>IF(Resultats!I42="","",Resultats!I42/AVERAGE(Resultats!$C42:Resultats!$O42))</f>
        <v>0.8259726246</v>
      </c>
      <c r="AA29" s="28" t="str">
        <f>IF(Resultats!J42="","",Resultats!J42/AVERAGE(Resultats!$C42:Resultats!$O42))</f>
        <v/>
      </c>
      <c r="AB29" s="28" t="str">
        <f>IF(Resultats!K42="","",Resultats!K42/AVERAGE(Resultats!$C42:Resultats!$O42))</f>
        <v/>
      </c>
      <c r="AC29" s="28" t="str">
        <f>IF(Resultats!L42="","",Resultats!L42/AVERAGE(Resultats!$C42:Resultats!$O42))</f>
        <v/>
      </c>
      <c r="AD29" s="28" t="str">
        <f>IF(Resultats!M42="","",Resultats!M42/AVERAGE(Resultats!$C42:Resultats!$O42))</f>
        <v/>
      </c>
      <c r="AE29" s="28" t="str">
        <f>IF(Resultats!N42="","",Resultats!N42/AVERAGE(Resultats!$C42:Resultats!$O42))</f>
        <v/>
      </c>
      <c r="AF29" s="28" t="str">
        <f>IF(Resultats!O42="","",Resultats!O42/AVERAGE(Resultats!$C42:Resultats!$O42))</f>
        <v/>
      </c>
      <c r="AH29" s="6" t="s">
        <v>80</v>
      </c>
      <c r="AI29" s="7"/>
    </row>
    <row r="30">
      <c r="A30" s="78" t="str">
        <f>Resultats!A34</f>
        <v>INSATANC2D.in</v>
      </c>
      <c r="B30" s="79">
        <f>IF(Resultats!C34="","",Resultats!C34/Resultats!$B34)</f>
        <v>0.526710009</v>
      </c>
      <c r="C30" s="79" t="str">
        <f>IF(Resultats!D34="","",Resultats!D34/Resultats!$B34)</f>
        <v/>
      </c>
      <c r="D30" s="79">
        <f>IF(Resultats!E34="","",Resultats!E34/Resultats!$B34)</f>
        <v>0.5276507842</v>
      </c>
      <c r="E30" s="79" t="str">
        <f>IF(Resultats!F34="","",Resultats!F34/Resultats!$B34)</f>
        <v/>
      </c>
      <c r="F30" s="79">
        <f>IF(Resultats!G34="","",Resultats!G34/Resultats!$B34)</f>
        <v>1</v>
      </c>
      <c r="G30" s="79">
        <f>IF(Resultats!H34="","",Resultats!H34/Resultats!$B34)</f>
        <v>0.5047879453</v>
      </c>
      <c r="H30" s="79">
        <f>IF(Resultats!I34="","",Resultats!I34/Resultats!$B34)</f>
        <v>0.4860244842</v>
      </c>
      <c r="I30" s="79" t="str">
        <f>IF(Resultats!J34="","",Resultats!J34/Resultats!$B34)</f>
        <v/>
      </c>
      <c r="J30" s="79" t="str">
        <f>IF(Resultats!K34="","",Resultats!K34/Resultats!$B34)</f>
        <v/>
      </c>
      <c r="K30" s="79" t="str">
        <f>IF(Resultats!L34="","",Resultats!L34/Resultats!$B34)</f>
        <v/>
      </c>
      <c r="L30" s="79" t="str">
        <f>IF(Resultats!M34="","",Resultats!M34/Resultats!$B34)</f>
        <v/>
      </c>
      <c r="M30" s="79" t="str">
        <f>IF(Resultats!N34="","",Resultats!N34/Resultats!$B34)</f>
        <v/>
      </c>
      <c r="N30" s="79" t="str">
        <f>IF(Resultats!O34="","",Resultats!O34/Resultats!$B34)</f>
        <v/>
      </c>
      <c r="S30" s="64" t="str">
        <f>Resultats!A43</f>
        <v>dense</v>
      </c>
      <c r="T30" s="28">
        <f>IF(Resultats!C43="","",Resultats!C43/AVERAGE(Resultats!$C43:Resultats!$O43))</f>
        <v>0.9584349886</v>
      </c>
      <c r="U30" s="28" t="str">
        <f>IF(Resultats!D43="","",Resultats!D43/AVERAGE(Resultats!$C43:Resultats!$O43))</f>
        <v/>
      </c>
      <c r="V30" s="28">
        <f>IF(Resultats!E43="","",Resultats!E43/AVERAGE(Resultats!$C43:Resultats!$O43))</f>
        <v>1.041393147</v>
      </c>
      <c r="W30" s="28" t="str">
        <f>IF(Resultats!F43="","",Resultats!F43/AVERAGE(Resultats!$C43:Resultats!$O43))</f>
        <v/>
      </c>
      <c r="X30" s="28" t="str">
        <f>IF(Resultats!G43="","",Resultats!G43/AVERAGE(Resultats!$C43:Resultats!$O43))</f>
        <v/>
      </c>
      <c r="Y30" s="28">
        <f>IF(Resultats!H43="","",Resultats!H43/AVERAGE(Resultats!$C43:Resultats!$O43))</f>
        <v>0.9587787172</v>
      </c>
      <c r="Z30" s="28">
        <f>IF(Resultats!I43="","",Resultats!I43/AVERAGE(Resultats!$C43:Resultats!$O43))</f>
        <v>1.041393147</v>
      </c>
      <c r="AA30" s="28" t="str">
        <f>IF(Resultats!J43="","",Resultats!J43/AVERAGE(Resultats!$C43:Resultats!$O43))</f>
        <v/>
      </c>
      <c r="AB30" s="28" t="str">
        <f>IF(Resultats!K43="","",Resultats!K43/AVERAGE(Resultats!$C43:Resultats!$O43))</f>
        <v/>
      </c>
      <c r="AC30" s="28" t="str">
        <f>IF(Resultats!L43="","",Resultats!L43/AVERAGE(Resultats!$C43:Resultats!$O43))</f>
        <v/>
      </c>
      <c r="AD30" s="28" t="str">
        <f>IF(Resultats!M43="","",Resultats!M43/AVERAGE(Resultats!$C43:Resultats!$O43))</f>
        <v/>
      </c>
      <c r="AE30" s="28" t="str">
        <f>IF(Resultats!N43="","",Resultats!N43/AVERAGE(Resultats!$C43:Resultats!$O43))</f>
        <v/>
      </c>
      <c r="AF30" s="28" t="str">
        <f>IF(Resultats!O43="","",Resultats!O43/AVERAGE(Resultats!$C43:Resultats!$O43))</f>
        <v/>
      </c>
      <c r="AH30" s="12" t="s">
        <v>5</v>
      </c>
      <c r="AI30" s="12" t="s">
        <v>12</v>
      </c>
    </row>
    <row r="31">
      <c r="A31" s="78" t="str">
        <f>Resultats!A35</f>
        <v>INSTANCED.in</v>
      </c>
      <c r="B31" s="79">
        <f>IF(Resultats!C35="","",Resultats!C35/Resultats!$B35)</f>
        <v>0.9914192088</v>
      </c>
      <c r="C31" s="79" t="str">
        <f>IF(Resultats!D35="","",Resultats!D35/Resultats!$B35)</f>
        <v/>
      </c>
      <c r="D31" s="79">
        <f>IF(Resultats!E35="","",Resultats!E35/Resultats!$B35)</f>
        <v>0.9986331207</v>
      </c>
      <c r="E31" s="79" t="str">
        <f>IF(Resultats!F35="","",Resultats!F35/Resultats!$B35)</f>
        <v/>
      </c>
      <c r="F31" s="79">
        <f>IF(Resultats!G35="","",Resultats!G35/Resultats!$B35)</f>
        <v>0.9968649057</v>
      </c>
      <c r="G31" s="79">
        <f>IF(Resultats!H35="","",Resultats!H35/Resultats!$B35)</f>
        <v>0.991249323</v>
      </c>
      <c r="H31" s="79">
        <f>IF(Resultats!I35="","",Resultats!I35/Resultats!$B35)</f>
        <v>1</v>
      </c>
      <c r="I31" s="79" t="str">
        <f>IF(Resultats!J35="","",Resultats!J35/Resultats!$B35)</f>
        <v/>
      </c>
      <c r="J31" s="79" t="str">
        <f>IF(Resultats!K35="","",Resultats!K35/Resultats!$B35)</f>
        <v/>
      </c>
      <c r="K31" s="79" t="str">
        <f>IF(Resultats!L35="","",Resultats!L35/Resultats!$B35)</f>
        <v/>
      </c>
      <c r="L31" s="79" t="str">
        <f>IF(Resultats!M35="","",Resultats!M35/Resultats!$B35)</f>
        <v/>
      </c>
      <c r="M31" s="79" t="str">
        <f>IF(Resultats!N35="","",Resultats!N35/Resultats!$B35)</f>
        <v/>
      </c>
      <c r="N31" s="79" t="str">
        <f>IF(Resultats!O35="","",Resultats!O35/Resultats!$B35)</f>
        <v/>
      </c>
      <c r="S31" s="64" t="str">
        <f>Resultats!A44</f>
        <v>dense2</v>
      </c>
      <c r="T31" s="28">
        <f>IF(Resultats!C44="","",Resultats!C44/AVERAGE(Resultats!$C44:Resultats!$O44))</f>
        <v>0.209166908</v>
      </c>
      <c r="U31" s="28" t="str">
        <f>IF(Resultats!D44="","",Resultats!D44/AVERAGE(Resultats!$C44:Resultats!$O44))</f>
        <v/>
      </c>
      <c r="V31" s="28">
        <f>IF(Resultats!E44="","",Resultats!E44/AVERAGE(Resultats!$C44:Resultats!$O44))</f>
        <v>1.790908633</v>
      </c>
      <c r="W31" s="28" t="str">
        <f>IF(Resultats!F44="","",Resultats!F44/AVERAGE(Resultats!$C44:Resultats!$O44))</f>
        <v/>
      </c>
      <c r="X31" s="28" t="str">
        <f>IF(Resultats!G44="","",Resultats!G44/AVERAGE(Resultats!$C44:Resultats!$O44))</f>
        <v/>
      </c>
      <c r="Y31" s="28">
        <f>IF(Resultats!H44="","",Resultats!H44/AVERAGE(Resultats!$C44:Resultats!$O44))</f>
        <v>0.2090158259</v>
      </c>
      <c r="Z31" s="28">
        <f>IF(Resultats!I44="","",Resultats!I44/AVERAGE(Resultats!$C44:Resultats!$O44))</f>
        <v>1.790908633</v>
      </c>
      <c r="AA31" s="28" t="str">
        <f>IF(Resultats!J44="","",Resultats!J44/AVERAGE(Resultats!$C44:Resultats!$O44))</f>
        <v/>
      </c>
      <c r="AB31" s="28" t="str">
        <f>IF(Resultats!K44="","",Resultats!K44/AVERAGE(Resultats!$C44:Resultats!$O44))</f>
        <v/>
      </c>
      <c r="AC31" s="28" t="str">
        <f>IF(Resultats!L44="","",Resultats!L44/AVERAGE(Resultats!$C44:Resultats!$O44))</f>
        <v/>
      </c>
      <c r="AD31" s="28" t="str">
        <f>IF(Resultats!M44="","",Resultats!M44/AVERAGE(Resultats!$C44:Resultats!$O44))</f>
        <v/>
      </c>
      <c r="AE31" s="28" t="str">
        <f>IF(Resultats!N44="","",Resultats!N44/AVERAGE(Resultats!$C44:Resultats!$O44))</f>
        <v/>
      </c>
      <c r="AF31" s="28" t="str">
        <f>IF(Resultats!O44="","",Resultats!O44/AVERAGE(Resultats!$C44:Resultats!$O44))</f>
        <v/>
      </c>
      <c r="AH31" s="8" t="str">
        <f t="array" ref="AH31:AI43">(CHOOSECOLS(SORT(TRANSPOSE(CHOOSEROWS(T41:AF43,1,3,2)),2,TRUE),1,3))</f>
        <v>K</v>
      </c>
      <c r="AI31" s="81">
        <v>1.1282858841383439</v>
      </c>
    </row>
    <row r="32">
      <c r="A32" s="78" t="str">
        <f>Resultats!A36</f>
        <v>2_2_2_1.in</v>
      </c>
      <c r="B32" s="79">
        <f>IF(Resultats!C36="","",Resultats!C36/Resultats!$B36)</f>
        <v>0.0501110554</v>
      </c>
      <c r="C32" s="79" t="str">
        <f>IF(Resultats!D36="","",Resultats!D36/Resultats!$B36)</f>
        <v/>
      </c>
      <c r="D32" s="79">
        <f>IF(Resultats!E36="","",Resultats!E36/Resultats!$B36)</f>
        <v>1</v>
      </c>
      <c r="E32" s="79" t="str">
        <f>IF(Resultats!F36="","",Resultats!F36/Resultats!$B36)</f>
        <v/>
      </c>
      <c r="F32" s="79" t="str">
        <f>IF(Resultats!G36="","",Resultats!G36/Resultats!$B36)</f>
        <v/>
      </c>
      <c r="G32" s="79">
        <f>IF(Resultats!H36="","",Resultats!H36/Resultats!$B36)</f>
        <v>0.0501110554</v>
      </c>
      <c r="H32" s="79">
        <f>IF(Resultats!I36="","",Resultats!I36/Resultats!$B36)</f>
        <v>1</v>
      </c>
      <c r="I32" s="79" t="str">
        <f>IF(Resultats!J36="","",Resultats!J36/Resultats!$B36)</f>
        <v/>
      </c>
      <c r="J32" s="79" t="str">
        <f>IF(Resultats!K36="","",Resultats!K36/Resultats!$B36)</f>
        <v/>
      </c>
      <c r="K32" s="79" t="str">
        <f>IF(Resultats!L36="","",Resultats!L36/Resultats!$B36)</f>
        <v/>
      </c>
      <c r="L32" s="79" t="str">
        <f>IF(Resultats!M36="","",Resultats!M36/Resultats!$B36)</f>
        <v/>
      </c>
      <c r="M32" s="79" t="str">
        <f>IF(Resultats!N36="","",Resultats!N36/Resultats!$B36)</f>
        <v/>
      </c>
      <c r="N32" s="79" t="str">
        <f>IF(Resultats!O36="","",Resultats!O36/Resultats!$B36)</f>
        <v/>
      </c>
      <c r="S32" s="78" t="str">
        <f>Resultats!A45</f>
        <v>medium_mixed_lambda.in</v>
      </c>
      <c r="T32" s="28">
        <f>IF(Resultats!C45="","",Resultats!C45/AVERAGE(Resultats!$C45:Resultats!$O45))</f>
        <v>1.017919222</v>
      </c>
      <c r="U32" s="28" t="str">
        <f>IF(Resultats!D45="","",Resultats!D45/AVERAGE(Resultats!$C45:Resultats!$O45))</f>
        <v/>
      </c>
      <c r="V32" s="28">
        <f>IF(Resultats!E45="","",Resultats!E45/AVERAGE(Resultats!$C45:Resultats!$O45))</f>
        <v>1.017919222</v>
      </c>
      <c r="W32" s="28" t="str">
        <f>IF(Resultats!F45="","",Resultats!F45/AVERAGE(Resultats!$C45:Resultats!$O45))</f>
        <v/>
      </c>
      <c r="X32" s="28" t="str">
        <f>IF(Resultats!G45="","",Resultats!G45/AVERAGE(Resultats!$C45:Resultats!$O45))</f>
        <v/>
      </c>
      <c r="Y32" s="28">
        <f>IF(Resultats!H45="","",Resultats!H45/AVERAGE(Resultats!$C45:Resultats!$O45))</f>
        <v>0.9952404398</v>
      </c>
      <c r="Z32" s="28">
        <f>IF(Resultats!I45="","",Resultats!I45/AVERAGE(Resultats!$C45:Resultats!$O45))</f>
        <v>0.9689211166</v>
      </c>
      <c r="AA32" s="28" t="str">
        <f>IF(Resultats!J45="","",Resultats!J45/AVERAGE(Resultats!$C45:Resultats!$O45))</f>
        <v/>
      </c>
      <c r="AB32" s="28" t="str">
        <f>IF(Resultats!K45="","",Resultats!K45/AVERAGE(Resultats!$C45:Resultats!$O45))</f>
        <v/>
      </c>
      <c r="AC32" s="28" t="str">
        <f>IF(Resultats!L45="","",Resultats!L45/AVERAGE(Resultats!$C45:Resultats!$O45))</f>
        <v/>
      </c>
      <c r="AD32" s="28" t="str">
        <f>IF(Resultats!M45="","",Resultats!M45/AVERAGE(Resultats!$C45:Resultats!$O45))</f>
        <v/>
      </c>
      <c r="AE32" s="28" t="str">
        <f>IF(Resultats!N45="","",Resultats!N45/AVERAGE(Resultats!$C45:Resultats!$O45))</f>
        <v/>
      </c>
      <c r="AF32" s="28" t="str">
        <f>IF(Resultats!O45="","",Resultats!O45/AVERAGE(Resultats!$C45:Resultats!$O45))</f>
        <v/>
      </c>
      <c r="AH32" s="8" t="s">
        <v>19</v>
      </c>
      <c r="AI32" s="81">
        <v>1.1249696519915557</v>
      </c>
    </row>
    <row r="33">
      <c r="A33" s="78" t="str">
        <f>Resultats!A37</f>
        <v>4_2_4_2.in</v>
      </c>
      <c r="B33" s="79">
        <f>IF(Resultats!C37="","",Resultats!C37/Resultats!$B37)</f>
        <v>0.513026667</v>
      </c>
      <c r="C33" s="79" t="str">
        <f>IF(Resultats!D37="","",Resultats!D37/Resultats!$B37)</f>
        <v/>
      </c>
      <c r="D33" s="79">
        <f>IF(Resultats!E37="","",Resultats!E37/Resultats!$B37)</f>
        <v>0.9760631643</v>
      </c>
      <c r="E33" s="79" t="str">
        <f>IF(Resultats!F37="","",Resultats!F37/Resultats!$B37)</f>
        <v/>
      </c>
      <c r="F33" s="79" t="str">
        <f>IF(Resultats!G37="","",Resultats!G37/Resultats!$B37)</f>
        <v/>
      </c>
      <c r="G33" s="79">
        <f>IF(Resultats!H37="","",Resultats!H37/Resultats!$B37)</f>
        <v>0.513026667</v>
      </c>
      <c r="H33" s="79">
        <f>IF(Resultats!I37="","",Resultats!I37/Resultats!$B37)</f>
        <v>1</v>
      </c>
      <c r="I33" s="79" t="str">
        <f>IF(Resultats!J37="","",Resultats!J37/Resultats!$B37)</f>
        <v/>
      </c>
      <c r="J33" s="79" t="str">
        <f>IF(Resultats!K37="","",Resultats!K37/Resultats!$B37)</f>
        <v/>
      </c>
      <c r="K33" s="79" t="str">
        <f>IF(Resultats!L37="","",Resultats!L37/Resultats!$B37)</f>
        <v/>
      </c>
      <c r="L33" s="79" t="str">
        <f>IF(Resultats!M37="","",Resultats!M37/Resultats!$B37)</f>
        <v/>
      </c>
      <c r="M33" s="79" t="str">
        <f>IF(Resultats!N37="","",Resultats!N37/Resultats!$B37)</f>
        <v/>
      </c>
      <c r="N33" s="79" t="str">
        <f>IF(Resultats!O37="","",Resultats!O37/Resultats!$B37)</f>
        <v/>
      </c>
      <c r="S33" s="78" t="str">
        <f>Resultats!A46</f>
        <v>medium_skew_dense_dejavu.in</v>
      </c>
      <c r="T33" s="28">
        <f>IF(Resultats!C46="","",Resultats!C46/AVERAGE(Resultats!$C46:Resultats!$O46))</f>
        <v>1.024290056</v>
      </c>
      <c r="U33" s="28" t="str">
        <f>IF(Resultats!D46="","",Resultats!D46/AVERAGE(Resultats!$C46:Resultats!$O46))</f>
        <v/>
      </c>
      <c r="V33" s="28">
        <f>IF(Resultats!E46="","",Resultats!E46/AVERAGE(Resultats!$C46:Resultats!$O46))</f>
        <v>1.024290056</v>
      </c>
      <c r="W33" s="28" t="str">
        <f>IF(Resultats!F46="","",Resultats!F46/AVERAGE(Resultats!$C46:Resultats!$O46))</f>
        <v/>
      </c>
      <c r="X33" s="28" t="str">
        <f>IF(Resultats!G46="","",Resultats!G46/AVERAGE(Resultats!$C46:Resultats!$O46))</f>
        <v/>
      </c>
      <c r="Y33" s="28">
        <f>IF(Resultats!H46="","",Resultats!H46/AVERAGE(Resultats!$C46:Resultats!$O46))</f>
        <v>0.9926843941</v>
      </c>
      <c r="Z33" s="28">
        <f>IF(Resultats!I46="","",Resultats!I46/AVERAGE(Resultats!$C46:Resultats!$O46))</f>
        <v>0.9587354929</v>
      </c>
      <c r="AA33" s="28" t="str">
        <f>IF(Resultats!J46="","",Resultats!J46/AVERAGE(Resultats!$C46:Resultats!$O46))</f>
        <v/>
      </c>
      <c r="AB33" s="28" t="str">
        <f>IF(Resultats!K46="","",Resultats!K46/AVERAGE(Resultats!$C46:Resultats!$O46))</f>
        <v/>
      </c>
      <c r="AC33" s="28" t="str">
        <f>IF(Resultats!L46="","",Resultats!L46/AVERAGE(Resultats!$C46:Resultats!$O46))</f>
        <v/>
      </c>
      <c r="AD33" s="28" t="str">
        <f>IF(Resultats!M46="","",Resultats!M46/AVERAGE(Resultats!$C46:Resultats!$O46))</f>
        <v/>
      </c>
      <c r="AE33" s="28" t="str">
        <f>IF(Resultats!N46="","",Resultats!N46/AVERAGE(Resultats!$C46:Resultats!$O46))</f>
        <v/>
      </c>
      <c r="AF33" s="28" t="str">
        <f>IF(Resultats!O46="","",Resultats!O46/AVERAGE(Resultats!$C46:Resultats!$O46))</f>
        <v/>
      </c>
      <c r="AH33" s="8" t="s">
        <v>18</v>
      </c>
      <c r="AI33" s="81">
        <v>1.1091326655710272</v>
      </c>
    </row>
    <row r="34">
      <c r="A34" s="78" t="str">
        <f>Resultats!A38</f>
        <v>6_2_6_2.in</v>
      </c>
      <c r="B34" s="79">
        <f>IF(Resultats!C38="","",Resultats!C38/Resultats!$B38)</f>
        <v>0.6002638871</v>
      </c>
      <c r="C34" s="79" t="str">
        <f>IF(Resultats!D38="","",Resultats!D38/Resultats!$B38)</f>
        <v/>
      </c>
      <c r="D34" s="79">
        <f>IF(Resultats!E38="","",Resultats!E38/Resultats!$B38)</f>
        <v>0.6002638871</v>
      </c>
      <c r="E34" s="79" t="str">
        <f>IF(Resultats!F38="","",Resultats!F38/Resultats!$B38)</f>
        <v/>
      </c>
      <c r="F34" s="79" t="str">
        <f>IF(Resultats!G38="","",Resultats!G38/Resultats!$B38)</f>
        <v/>
      </c>
      <c r="G34" s="79">
        <f>IF(Resultats!H38="","",Resultats!H38/Resultats!$B38)</f>
        <v>0.6002638871</v>
      </c>
      <c r="H34" s="79">
        <f>IF(Resultats!I38="","",Resultats!I38/Resultats!$B38)</f>
        <v>1</v>
      </c>
      <c r="I34" s="79" t="str">
        <f>IF(Resultats!J38="","",Resultats!J38/Resultats!$B38)</f>
        <v/>
      </c>
      <c r="J34" s="79" t="str">
        <f>IF(Resultats!K38="","",Resultats!K38/Resultats!$B38)</f>
        <v/>
      </c>
      <c r="K34" s="79" t="str">
        <f>IF(Resultats!L38="","",Resultats!L38/Resultats!$B38)</f>
        <v/>
      </c>
      <c r="L34" s="79" t="str">
        <f>IF(Resultats!M38="","",Resultats!M38/Resultats!$B38)</f>
        <v/>
      </c>
      <c r="M34" s="79" t="str">
        <f>IF(Resultats!N38="","",Resultats!N38/Resultats!$B38)</f>
        <v/>
      </c>
      <c r="N34" s="79" t="str">
        <f>IF(Resultats!O38="","",Resultats!O38/Resultats!$B38)</f>
        <v/>
      </c>
      <c r="S34" s="78" t="str">
        <f>Resultats!A47</f>
        <v>medium_skew_sparse_lambda.in</v>
      </c>
      <c r="T34" s="28">
        <f>IF(Resultats!C47="","",Resultats!C47/AVERAGE(Resultats!$C47:Resultats!$O47))</f>
        <v>1.012213383</v>
      </c>
      <c r="U34" s="28" t="str">
        <f>IF(Resultats!D47="","",Resultats!D47/AVERAGE(Resultats!$C47:Resultats!$O47))</f>
        <v/>
      </c>
      <c r="V34" s="28">
        <f>IF(Resultats!E47="","",Resultats!E47/AVERAGE(Resultats!$C47:Resultats!$O47))</f>
        <v>1.012213383</v>
      </c>
      <c r="W34" s="28" t="str">
        <f>IF(Resultats!F47="","",Resultats!F47/AVERAGE(Resultats!$C47:Resultats!$O47))</f>
        <v/>
      </c>
      <c r="X34" s="28" t="str">
        <f>IF(Resultats!G47="","",Resultats!G47/AVERAGE(Resultats!$C47:Resultats!$O47))</f>
        <v/>
      </c>
      <c r="Y34" s="28">
        <f>IF(Resultats!H47="","",Resultats!H47/AVERAGE(Resultats!$C47:Resultats!$O47))</f>
        <v>1.003158634</v>
      </c>
      <c r="Z34" s="28">
        <f>IF(Resultats!I47="","",Resultats!I47/AVERAGE(Resultats!$C47:Resultats!$O47))</f>
        <v>0.9724145999</v>
      </c>
      <c r="AA34" s="28" t="str">
        <f>IF(Resultats!J47="","",Resultats!J47/AVERAGE(Resultats!$C47:Resultats!$O47))</f>
        <v/>
      </c>
      <c r="AB34" s="28" t="str">
        <f>IF(Resultats!K47="","",Resultats!K47/AVERAGE(Resultats!$C47:Resultats!$O47))</f>
        <v/>
      </c>
      <c r="AC34" s="28" t="str">
        <f>IF(Resultats!L47="","",Resultats!L47/AVERAGE(Resultats!$C47:Resultats!$O47))</f>
        <v/>
      </c>
      <c r="AD34" s="28" t="str">
        <f>IF(Resultats!M47="","",Resultats!M47/AVERAGE(Resultats!$C47:Resultats!$O47))</f>
        <v/>
      </c>
      <c r="AE34" s="28" t="str">
        <f>IF(Resultats!N47="","",Resultats!N47/AVERAGE(Resultats!$C47:Resultats!$O47))</f>
        <v/>
      </c>
      <c r="AF34" s="28" t="str">
        <f>IF(Resultats!O47="","",Resultats!O47/AVERAGE(Resultats!$C47:Resultats!$O47))</f>
        <v/>
      </c>
      <c r="AH34" s="8" t="s">
        <v>22</v>
      </c>
      <c r="AI34" s="81">
        <v>1.1031134909840612</v>
      </c>
    </row>
    <row r="35">
      <c r="A35" s="78" t="str">
        <f>Resultats!A39</f>
        <v>8_2_8_2.in</v>
      </c>
      <c r="B35" s="79">
        <f>IF(Resultats!C39="","",Resultats!C39/Resultats!$B39)</f>
        <v>0.5049649131</v>
      </c>
      <c r="C35" s="79" t="str">
        <f>IF(Resultats!D39="","",Resultats!D39/Resultats!$B39)</f>
        <v/>
      </c>
      <c r="D35" s="79">
        <f>IF(Resultats!E39="","",Resultats!E39/Resultats!$B39)</f>
        <v>0.6618655004</v>
      </c>
      <c r="E35" s="79" t="str">
        <f>IF(Resultats!F39="","",Resultats!F39/Resultats!$B39)</f>
        <v/>
      </c>
      <c r="F35" s="79" t="str">
        <f>IF(Resultats!G39="","",Resultats!G39/Resultats!$B39)</f>
        <v/>
      </c>
      <c r="G35" s="79">
        <f>IF(Resultats!H39="","",Resultats!H39/Resultats!$B39)</f>
        <v>0.5049649131</v>
      </c>
      <c r="H35" s="79">
        <f>IF(Resultats!I39="","",Resultats!I39/Resultats!$B39)</f>
        <v>1</v>
      </c>
      <c r="I35" s="79" t="str">
        <f>IF(Resultats!J39="","",Resultats!J39/Resultats!$B39)</f>
        <v/>
      </c>
      <c r="J35" s="79" t="str">
        <f>IF(Resultats!K39="","",Resultats!K39/Resultats!$B39)</f>
        <v/>
      </c>
      <c r="K35" s="79" t="str">
        <f>IF(Resultats!L39="","",Resultats!L39/Resultats!$B39)</f>
        <v/>
      </c>
      <c r="L35" s="79" t="str">
        <f>IF(Resultats!M39="","",Resultats!M39/Resultats!$B39)</f>
        <v/>
      </c>
      <c r="M35" s="79" t="str">
        <f>IF(Resultats!N39="","",Resultats!N39/Resultats!$B39)</f>
        <v/>
      </c>
      <c r="N35" s="79" t="str">
        <f>IF(Resultats!O39="","",Resultats!O39/Resultats!$B39)</f>
        <v/>
      </c>
      <c r="S35" s="78" t="str">
        <f>Resultats!A48</f>
        <v>medium_flat_dense_dejavu.in</v>
      </c>
      <c r="T35" s="28">
        <f>IF(Resultats!C48="","",Resultats!C48/AVERAGE(Resultats!$C48:Resultats!$O48))</f>
        <v>1.012982073</v>
      </c>
      <c r="U35" s="28" t="str">
        <f>IF(Resultats!D48="","",Resultats!D48/AVERAGE(Resultats!$C48:Resultats!$O48))</f>
        <v/>
      </c>
      <c r="V35" s="28">
        <f>IF(Resultats!E48="","",Resultats!E48/AVERAGE(Resultats!$C48:Resultats!$O48))</f>
        <v>1.012982073</v>
      </c>
      <c r="W35" s="28" t="str">
        <f>IF(Resultats!F48="","",Resultats!F48/AVERAGE(Resultats!$C48:Resultats!$O48))</f>
        <v/>
      </c>
      <c r="X35" s="28" t="str">
        <f>IF(Resultats!G48="","",Resultats!G48/AVERAGE(Resultats!$C48:Resultats!$O48))</f>
        <v/>
      </c>
      <c r="Y35" s="28">
        <f>IF(Resultats!H48="","",Resultats!H48/AVERAGE(Resultats!$C48:Resultats!$O48))</f>
        <v>0.9944386879</v>
      </c>
      <c r="Z35" s="28">
        <f>IF(Resultats!I48="","",Resultats!I48/AVERAGE(Resultats!$C48:Resultats!$O48))</f>
        <v>0.9795971668</v>
      </c>
      <c r="AA35" s="28" t="str">
        <f>IF(Resultats!J48="","",Resultats!J48/AVERAGE(Resultats!$C48:Resultats!$O48))</f>
        <v/>
      </c>
      <c r="AB35" s="28" t="str">
        <f>IF(Resultats!K48="","",Resultats!K48/AVERAGE(Resultats!$C48:Resultats!$O48))</f>
        <v/>
      </c>
      <c r="AC35" s="28" t="str">
        <f>IF(Resultats!L48="","",Resultats!L48/AVERAGE(Resultats!$C48:Resultats!$O48))</f>
        <v/>
      </c>
      <c r="AD35" s="28" t="str">
        <f>IF(Resultats!M48="","",Resultats!M48/AVERAGE(Resultats!$C48:Resultats!$O48))</f>
        <v/>
      </c>
      <c r="AE35" s="28" t="str">
        <f>IF(Resultats!N48="","",Resultats!N48/AVERAGE(Resultats!$C48:Resultats!$O48))</f>
        <v/>
      </c>
      <c r="AF35" s="28" t="str">
        <f>IF(Resultats!O48="","",Resultats!O48/AVERAGE(Resultats!$C48:Resultats!$O48))</f>
        <v/>
      </c>
      <c r="AH35" s="8" t="s">
        <v>20</v>
      </c>
      <c r="AI35" s="81">
        <v>1.0980443043020436</v>
      </c>
    </row>
    <row r="36">
      <c r="A36" s="78" t="str">
        <f>Resultats!A40</f>
        <v>20_2_20_2.in</v>
      </c>
      <c r="B36" s="79">
        <f>IF(Resultats!C40="","",Resultats!C40/Resultats!$B40)</f>
        <v>0.9052117624</v>
      </c>
      <c r="C36" s="79" t="str">
        <f>IF(Resultats!D40="","",Resultats!D40/Resultats!$B40)</f>
        <v/>
      </c>
      <c r="D36" s="79">
        <f>IF(Resultats!E40="","",Resultats!E40/Resultats!$B40)</f>
        <v>1</v>
      </c>
      <c r="E36" s="79" t="str">
        <f>IF(Resultats!F40="","",Resultats!F40/Resultats!$B40)</f>
        <v/>
      </c>
      <c r="F36" s="79" t="str">
        <f>IF(Resultats!G40="","",Resultats!G40/Resultats!$B40)</f>
        <v/>
      </c>
      <c r="G36" s="79">
        <f>IF(Resultats!H40="","",Resultats!H40/Resultats!$B40)</f>
        <v>0.9052117624</v>
      </c>
      <c r="H36" s="79">
        <f>IF(Resultats!I40="","",Resultats!I40/Resultats!$B40)</f>
        <v>1</v>
      </c>
      <c r="I36" s="79" t="str">
        <f>IF(Resultats!J40="","",Resultats!J40/Resultats!$B40)</f>
        <v/>
      </c>
      <c r="J36" s="79" t="str">
        <f>IF(Resultats!K40="","",Resultats!K40/Resultats!$B40)</f>
        <v/>
      </c>
      <c r="K36" s="79" t="str">
        <f>IF(Resultats!L40="","",Resultats!L40/Resultats!$B40)</f>
        <v/>
      </c>
      <c r="L36" s="79" t="str">
        <f>IF(Resultats!M40="","",Resultats!M40/Resultats!$B40)</f>
        <v/>
      </c>
      <c r="M36" s="79" t="str">
        <f>IF(Resultats!N40="","",Resultats!N40/Resultats!$B40)</f>
        <v/>
      </c>
      <c r="N36" s="79" t="str">
        <f>IF(Resultats!O40="","",Resultats!O40/Resultats!$B40)</f>
        <v/>
      </c>
      <c r="S36" s="82" t="str">
        <f>Resultats!A49</f>
        <v>medium_flat_sparse_lambda.in</v>
      </c>
      <c r="T36" s="28">
        <f>IF(Resultats!C49="","",Resultats!C49/AVERAGE(Resultats!$C49:Resultats!$O49))</f>
        <v>1.007187483</v>
      </c>
      <c r="U36" s="28" t="str">
        <f>IF(Resultats!D49="","",Resultats!D49/AVERAGE(Resultats!$C49:Resultats!$O49))</f>
        <v/>
      </c>
      <c r="V36" s="28">
        <f>IF(Resultats!E49="","",Resultats!E49/AVERAGE(Resultats!$C49:Resultats!$O49))</f>
        <v>1.007187483</v>
      </c>
      <c r="W36" s="28" t="str">
        <f>IF(Resultats!F49="","",Resultats!F49/AVERAGE(Resultats!$C49:Resultats!$O49))</f>
        <v/>
      </c>
      <c r="X36" s="28" t="str">
        <f>IF(Resultats!G49="","",Resultats!G49/AVERAGE(Resultats!$C49:Resultats!$O49))</f>
        <v/>
      </c>
      <c r="Y36" s="28">
        <f>IF(Resultats!H49="","",Resultats!H49/AVERAGE(Resultats!$C49:Resultats!$O49))</f>
        <v>1.003257329</v>
      </c>
      <c r="Z36" s="28">
        <f>IF(Resultats!I49="","",Resultats!I49/AVERAGE(Resultats!$C49:Resultats!$O49))</f>
        <v>0.9823677044</v>
      </c>
      <c r="AA36" s="28" t="str">
        <f>IF(Resultats!J49="","",Resultats!J49/AVERAGE(Resultats!$C49:Resultats!$O49))</f>
        <v/>
      </c>
      <c r="AB36" s="28" t="str">
        <f>IF(Resultats!K49="","",Resultats!K49/AVERAGE(Resultats!$C49:Resultats!$O49))</f>
        <v/>
      </c>
      <c r="AC36" s="28" t="str">
        <f>IF(Resultats!L49="","",Resultats!L49/AVERAGE(Resultats!$C49:Resultats!$O49))</f>
        <v/>
      </c>
      <c r="AD36" s="28" t="str">
        <f>IF(Resultats!M49="","",Resultats!M49/AVERAGE(Resultats!$C49:Resultats!$O49))</f>
        <v/>
      </c>
      <c r="AE36" s="28" t="str">
        <f>IF(Resultats!N49="","",Resultats!N49/AVERAGE(Resultats!$C49:Resultats!$O49))</f>
        <v/>
      </c>
      <c r="AF36" s="28" t="str">
        <f>IF(Resultats!O49="","",Resultats!O49/AVERAGE(Resultats!$C49:Resultats!$O49))</f>
        <v/>
      </c>
      <c r="AH36" s="8" t="s">
        <v>16</v>
      </c>
      <c r="AI36" s="81">
        <v>0.9685267723268081</v>
      </c>
    </row>
    <row r="37">
      <c r="A37" s="78" t="str">
        <f>Resultats!A41</f>
        <v>realistic_large_clustered.in</v>
      </c>
      <c r="B37" s="79">
        <f>IF(Resultats!C41="","",Resultats!C41/Resultats!$B41)</f>
        <v>0.9974239349</v>
      </c>
      <c r="C37" s="79" t="str">
        <f>IF(Resultats!D41="","",Resultats!D41/Resultats!$B41)</f>
        <v/>
      </c>
      <c r="D37" s="79">
        <f>IF(Resultats!E41="","",Resultats!E41/Resultats!$B41)</f>
        <v>1</v>
      </c>
      <c r="E37" s="79" t="str">
        <f>IF(Resultats!F41="","",Resultats!F41/Resultats!$B41)</f>
        <v/>
      </c>
      <c r="F37" s="79" t="str">
        <f>IF(Resultats!G41="","",Resultats!G41/Resultats!$B41)</f>
        <v/>
      </c>
      <c r="G37" s="79">
        <f>IF(Resultats!H41="","",Resultats!H41/Resultats!$B41)</f>
        <v>0.994771353</v>
      </c>
      <c r="H37" s="79">
        <f>IF(Resultats!I41="","",Resultats!I41/Resultats!$B41)</f>
        <v>0.9132204002</v>
      </c>
      <c r="I37" s="79" t="str">
        <f>IF(Resultats!J41="","",Resultats!J41/Resultats!$B41)</f>
        <v/>
      </c>
      <c r="J37" s="79" t="str">
        <f>IF(Resultats!K41="","",Resultats!K41/Resultats!$B41)</f>
        <v/>
      </c>
      <c r="K37" s="79" t="str">
        <f>IF(Resultats!L41="","",Resultats!L41/Resultats!$B41)</f>
        <v/>
      </c>
      <c r="L37" s="79" t="str">
        <f>IF(Resultats!M41="","",Resultats!M41/Resultats!$B41)</f>
        <v/>
      </c>
      <c r="M37" s="79" t="str">
        <f>IF(Resultats!N41="","",Resultats!N41/Resultats!$B41)</f>
        <v/>
      </c>
      <c r="N37" s="79" t="str">
        <f>IF(Resultats!O41="","",Resultats!O41/Resultats!$B41)</f>
        <v/>
      </c>
      <c r="S37" s="64" t="str">
        <f>Resultats!A50</f>
        <v/>
      </c>
      <c r="T37" s="28" t="str">
        <f>IF(Resultats!C50="","",Resultats!C50/AVERAGE(Resultats!$C50:Resultats!$O50))</f>
        <v/>
      </c>
      <c r="U37" s="28" t="str">
        <f>IF(Resultats!D50="","",Resultats!D50/AVERAGE(Resultats!$C50:Resultats!$O50))</f>
        <v/>
      </c>
      <c r="V37" s="28" t="str">
        <f>IF(Resultats!E50="","",Resultats!E50/AVERAGE(Resultats!$C50:Resultats!$O50))</f>
        <v/>
      </c>
      <c r="W37" s="28" t="str">
        <f>IF(Resultats!F50="","",Resultats!F50/AVERAGE(Resultats!$C50:Resultats!$O50))</f>
        <v/>
      </c>
      <c r="X37" s="28" t="str">
        <f>IF(Resultats!G50="","",Resultats!G50/AVERAGE(Resultats!$C50:Resultats!$O50))</f>
        <v/>
      </c>
      <c r="Y37" s="28" t="str">
        <f>IF(Resultats!H50="","",Resultats!H50/AVERAGE(Resultats!$C50:Resultats!$O50))</f>
        <v/>
      </c>
      <c r="Z37" s="28" t="str">
        <f>IF(Resultats!I50="","",Resultats!I50/AVERAGE(Resultats!$C50:Resultats!$O50))</f>
        <v/>
      </c>
      <c r="AA37" s="28" t="str">
        <f>IF(Resultats!J50="","",Resultats!J50/AVERAGE(Resultats!$C50:Resultats!$O50))</f>
        <v/>
      </c>
      <c r="AB37" s="28" t="str">
        <f>IF(Resultats!K50="","",Resultats!K50/AVERAGE(Resultats!$C50:Resultats!$O50))</f>
        <v/>
      </c>
      <c r="AC37" s="28" t="str">
        <f>IF(Resultats!L50="","",Resultats!L50/AVERAGE(Resultats!$C50:Resultats!$O50))</f>
        <v/>
      </c>
      <c r="AD37" s="28" t="str">
        <f>IF(Resultats!M50="","",Resultats!M50/AVERAGE(Resultats!$C50:Resultats!$O50))</f>
        <v/>
      </c>
      <c r="AE37" s="28" t="str">
        <f>IF(Resultats!N50="","",Resultats!N50/AVERAGE(Resultats!$C50:Resultats!$O50))</f>
        <v/>
      </c>
      <c r="AF37" s="28" t="str">
        <f>IF(Resultats!O50="","",Resultats!O50/AVERAGE(Resultats!$C50:Resultats!$O50))</f>
        <v/>
      </c>
      <c r="AH37" s="8" t="s">
        <v>21</v>
      </c>
      <c r="AI37" s="81">
        <v>0.9543684401728494</v>
      </c>
    </row>
    <row r="38">
      <c r="A38" s="78" t="str">
        <f>Resultats!A42</f>
        <v>realistic_large_random.in</v>
      </c>
      <c r="B38" s="79">
        <f>IF(Resultats!C42="","",Resultats!C42/Resultats!$B42)</f>
        <v>0.9996519914</v>
      </c>
      <c r="C38" s="79" t="str">
        <f>IF(Resultats!D42="","",Resultats!D42/Resultats!$B42)</f>
        <v/>
      </c>
      <c r="D38" s="79">
        <f>IF(Resultats!E42="","",Resultats!E42/Resultats!$B42)</f>
        <v>1</v>
      </c>
      <c r="E38" s="79" t="str">
        <f>IF(Resultats!F42="","",Resultats!F42/Resultats!$B42)</f>
        <v/>
      </c>
      <c r="F38" s="79" t="str">
        <f>IF(Resultats!G42="","",Resultats!G42/Resultats!$B42)</f>
        <v/>
      </c>
      <c r="G38" s="79">
        <f>IF(Resultats!H42="","",Resultats!H42/Resultats!$B42)</f>
        <v>0.9826685256</v>
      </c>
      <c r="H38" s="79">
        <f>IF(Resultats!I42="","",Resultats!I42/Resultats!$B42)</f>
        <v>0.7760850218</v>
      </c>
      <c r="I38" s="79" t="str">
        <f>IF(Resultats!J42="","",Resultats!J42/Resultats!$B42)</f>
        <v/>
      </c>
      <c r="J38" s="79" t="str">
        <f>IF(Resultats!K42="","",Resultats!K42/Resultats!$B42)</f>
        <v/>
      </c>
      <c r="K38" s="79" t="str">
        <f>IF(Resultats!L42="","",Resultats!L42/Resultats!$B42)</f>
        <v/>
      </c>
      <c r="L38" s="79" t="str">
        <f>IF(Resultats!M42="","",Resultats!M42/Resultats!$B42)</f>
        <v/>
      </c>
      <c r="M38" s="79" t="str">
        <f>IF(Resultats!N42="","",Resultats!N42/Resultats!$B42)</f>
        <v/>
      </c>
      <c r="N38" s="79" t="str">
        <f>IF(Resultats!O42="","",Resultats!O42/Resultats!$B42)</f>
        <v/>
      </c>
      <c r="P38" s="6" t="s">
        <v>81</v>
      </c>
      <c r="Q38" s="7"/>
      <c r="S38" s="64" t="str">
        <f>Resultats!A51</f>
        <v/>
      </c>
      <c r="T38" s="28" t="str">
        <f>IF(Resultats!C51="","",Resultats!C51/AVERAGE(Resultats!$C51:Resultats!$O51))</f>
        <v/>
      </c>
      <c r="U38" s="28" t="str">
        <f>IF(Resultats!D51="","",Resultats!D51/AVERAGE(Resultats!$C51:Resultats!$O51))</f>
        <v/>
      </c>
      <c r="V38" s="28" t="str">
        <f>IF(Resultats!E51="","",Resultats!E51/AVERAGE(Resultats!$C51:Resultats!$O51))</f>
        <v/>
      </c>
      <c r="W38" s="28" t="str">
        <f>IF(Resultats!F51="","",Resultats!F51/AVERAGE(Resultats!$C51:Resultats!$O51))</f>
        <v/>
      </c>
      <c r="X38" s="28" t="str">
        <f>IF(Resultats!G51="","",Resultats!G51/AVERAGE(Resultats!$C51:Resultats!$O51))</f>
        <v/>
      </c>
      <c r="Y38" s="28" t="str">
        <f>IF(Resultats!H51="","",Resultats!H51/AVERAGE(Resultats!$C51:Resultats!$O51))</f>
        <v/>
      </c>
      <c r="Z38" s="28" t="str">
        <f>IF(Resultats!I51="","",Resultats!I51/AVERAGE(Resultats!$C51:Resultats!$O51))</f>
        <v/>
      </c>
      <c r="AA38" s="28" t="str">
        <f>IF(Resultats!J51="","",Resultats!J51/AVERAGE(Resultats!$C51:Resultats!$O51))</f>
        <v/>
      </c>
      <c r="AB38" s="28" t="str">
        <f>IF(Resultats!K51="","",Resultats!K51/AVERAGE(Resultats!$C51:Resultats!$O51))</f>
        <v/>
      </c>
      <c r="AC38" s="28" t="str">
        <f>IF(Resultats!L51="","",Resultats!L51/AVERAGE(Resultats!$C51:Resultats!$O51))</f>
        <v/>
      </c>
      <c r="AD38" s="28" t="str">
        <f>IF(Resultats!M51="","",Resultats!M51/AVERAGE(Resultats!$C51:Resultats!$O51))</f>
        <v/>
      </c>
      <c r="AE38" s="28" t="str">
        <f>IF(Resultats!N51="","",Resultats!N51/AVERAGE(Resultats!$C51:Resultats!$O51))</f>
        <v/>
      </c>
      <c r="AF38" s="28" t="str">
        <f>IF(Resultats!O51="","",Resultats!O51/AVERAGE(Resultats!$C51:Resultats!$O51))</f>
        <v/>
      </c>
      <c r="AH38" s="8" t="s">
        <v>25</v>
      </c>
      <c r="AI38" s="81">
        <v>0.7780551751128053</v>
      </c>
    </row>
    <row r="39">
      <c r="A39" s="64" t="str">
        <f>Resultats!A43</f>
        <v>dense</v>
      </c>
      <c r="B39" s="79">
        <f>IF(Resultats!C43="","",Resultats!C43/Resultats!$B43)</f>
        <v>0.9203392506</v>
      </c>
      <c r="C39" s="79" t="str">
        <f>IF(Resultats!D43="","",Resultats!D43/Resultats!$B43)</f>
        <v/>
      </c>
      <c r="D39" s="79">
        <f>IF(Resultats!E43="","",Resultats!E43/Resultats!$B43)</f>
        <v>1</v>
      </c>
      <c r="E39" s="79" t="str">
        <f>IF(Resultats!F43="","",Resultats!F43/Resultats!$B43)</f>
        <v/>
      </c>
      <c r="F39" s="79" t="str">
        <f>IF(Resultats!G43="","",Resultats!G43/Resultats!$B43)</f>
        <v/>
      </c>
      <c r="G39" s="79">
        <f>IF(Resultats!H43="","",Resultats!H43/Resultats!$B43)</f>
        <v>0.9206693168</v>
      </c>
      <c r="H39" s="79">
        <f>IF(Resultats!I43="","",Resultats!I43/Resultats!$B43)</f>
        <v>1</v>
      </c>
      <c r="I39" s="79" t="str">
        <f>IF(Resultats!J43="","",Resultats!J43/Resultats!$B43)</f>
        <v/>
      </c>
      <c r="J39" s="79" t="str">
        <f>IF(Resultats!K43="","",Resultats!K43/Resultats!$B43)</f>
        <v/>
      </c>
      <c r="K39" s="79" t="str">
        <f>IF(Resultats!L43="","",Resultats!L43/Resultats!$B43)</f>
        <v/>
      </c>
      <c r="L39" s="79" t="str">
        <f>IF(Resultats!M43="","",Resultats!M43/Resultats!$B43)</f>
        <v/>
      </c>
      <c r="M39" s="79" t="str">
        <f>IF(Resultats!N43="","",Resultats!N43/Resultats!$B43)</f>
        <v/>
      </c>
      <c r="N39" s="79" t="str">
        <f>IF(Resultats!O43="","",Resultats!O43/Resultats!$B43)</f>
        <v/>
      </c>
      <c r="P39" s="12" t="s">
        <v>5</v>
      </c>
      <c r="Q39" s="12" t="s">
        <v>12</v>
      </c>
      <c r="S39" s="64" t="str">
        <f>Resultats!A52</f>
        <v/>
      </c>
      <c r="T39" s="28" t="str">
        <f>IF(Resultats!C52="","",Resultats!C52/AVERAGE(Resultats!$C52:Resultats!$O52))</f>
        <v/>
      </c>
      <c r="U39" s="28" t="str">
        <f>IF(Resultats!D52="","",Resultats!D52/AVERAGE(Resultats!$C52:Resultats!$O52))</f>
        <v/>
      </c>
      <c r="V39" s="28" t="str">
        <f>IF(Resultats!E52="","",Resultats!E52/AVERAGE(Resultats!$C52:Resultats!$O52))</f>
        <v/>
      </c>
      <c r="W39" s="28" t="str">
        <f>IF(Resultats!F52="","",Resultats!F52/AVERAGE(Resultats!$C52:Resultats!$O52))</f>
        <v/>
      </c>
      <c r="X39" s="28" t="str">
        <f>IF(Resultats!G52="","",Resultats!G52/AVERAGE(Resultats!$C52:Resultats!$O52))</f>
        <v/>
      </c>
      <c r="Y39" s="28" t="str">
        <f>IF(Resultats!H52="","",Resultats!H52/AVERAGE(Resultats!$C52:Resultats!$O52))</f>
        <v/>
      </c>
      <c r="Z39" s="28" t="str">
        <f>IF(Resultats!I52="","",Resultats!I52/AVERAGE(Resultats!$C52:Resultats!$O52))</f>
        <v/>
      </c>
      <c r="AA39" s="28" t="str">
        <f>IF(Resultats!J52="","",Resultats!J52/AVERAGE(Resultats!$C52:Resultats!$O52))</f>
        <v/>
      </c>
      <c r="AB39" s="28" t="str">
        <f>IF(Resultats!K52="","",Resultats!K52/AVERAGE(Resultats!$C52:Resultats!$O52))</f>
        <v/>
      </c>
      <c r="AC39" s="28" t="str">
        <f>IF(Resultats!L52="","",Resultats!L52/AVERAGE(Resultats!$C52:Resultats!$O52))</f>
        <v/>
      </c>
      <c r="AD39" s="28" t="str">
        <f>IF(Resultats!M52="","",Resultats!M52/AVERAGE(Resultats!$C52:Resultats!$O52))</f>
        <v/>
      </c>
      <c r="AE39" s="28" t="str">
        <f>IF(Resultats!N52="","",Resultats!N52/AVERAGE(Resultats!$C52:Resultats!$O52))</f>
        <v/>
      </c>
      <c r="AF39" s="28" t="str">
        <f>IF(Resultats!O52="","",Resultats!O52/AVERAGE(Resultats!$C52:Resultats!$O52))</f>
        <v/>
      </c>
      <c r="AH39" s="8" t="s">
        <v>17</v>
      </c>
      <c r="AI39" s="81">
        <v>0.46347280415197417</v>
      </c>
    </row>
    <row r="40">
      <c r="A40" s="64" t="str">
        <f>Resultats!A44</f>
        <v>dense2</v>
      </c>
      <c r="B40" s="79">
        <f>IF(Resultats!C44="","",Resultats!C44/Resultats!$B44)</f>
        <v>0.1167937348</v>
      </c>
      <c r="C40" s="79" t="str">
        <f>IF(Resultats!D44="","",Resultats!D44/Resultats!$B44)</f>
        <v/>
      </c>
      <c r="D40" s="79">
        <f>IF(Resultats!E44="","",Resultats!E44/Resultats!$B44)</f>
        <v>1</v>
      </c>
      <c r="E40" s="79" t="str">
        <f>IF(Resultats!F44="","",Resultats!F44/Resultats!$B44)</f>
        <v/>
      </c>
      <c r="F40" s="79" t="str">
        <f>IF(Resultats!G44="","",Resultats!G44/Resultats!$B44)</f>
        <v/>
      </c>
      <c r="G40" s="79">
        <f>IF(Resultats!H44="","",Resultats!H44/Resultats!$B44)</f>
        <v>0.1167093742</v>
      </c>
      <c r="H40" s="79">
        <f>IF(Resultats!I44="","",Resultats!I44/Resultats!$B44)</f>
        <v>1</v>
      </c>
      <c r="I40" s="79" t="str">
        <f>IF(Resultats!J44="","",Resultats!J44/Resultats!$B44)</f>
        <v/>
      </c>
      <c r="J40" s="79" t="str">
        <f>IF(Resultats!K44="","",Resultats!K44/Resultats!$B44)</f>
        <v/>
      </c>
      <c r="K40" s="79" t="str">
        <f>IF(Resultats!L44="","",Resultats!L44/Resultats!$B44)</f>
        <v/>
      </c>
      <c r="L40" s="79" t="str">
        <f>IF(Resultats!M44="","",Resultats!M44/Resultats!$B44)</f>
        <v/>
      </c>
      <c r="M40" s="79" t="str">
        <f>IF(Resultats!N44="","",Resultats!N44/Resultats!$B44)</f>
        <v/>
      </c>
      <c r="N40" s="79" t="str">
        <f>IF(Resultats!O44="","",Resultats!O44/Resultats!$B44)</f>
        <v/>
      </c>
      <c r="P40" s="8" t="str">
        <f t="array" ref="P40:Q52">(CHOOSECOLS(SORT(TRANSPOSE(CHOOSEROWS(B50:N52,1,3,2)),2,TRUE),1,3))</f>
        <v>K</v>
      </c>
      <c r="Q40" s="81">
        <v>0.9986588419445717</v>
      </c>
      <c r="AH40" s="8" t="s">
        <v>23</v>
      </c>
      <c r="AI40" s="81" t="s">
        <v>82</v>
      </c>
    </row>
    <row r="41">
      <c r="A41" s="78" t="str">
        <f>Resultats!A45</f>
        <v>medium_mixed_lambda.in</v>
      </c>
      <c r="B41" s="79">
        <f>IF(Resultats!C45="","",Resultats!C45/Resultats!$B45)</f>
        <v>1</v>
      </c>
      <c r="C41" s="79" t="str">
        <f>IF(Resultats!D45="","",Resultats!D45/Resultats!$B45)</f>
        <v/>
      </c>
      <c r="D41" s="79">
        <f>IF(Resultats!E45="","",Resultats!E45/Resultats!$B45)</f>
        <v>1</v>
      </c>
      <c r="E41" s="79" t="str">
        <f>IF(Resultats!F45="","",Resultats!F45/Resultats!$B45)</f>
        <v/>
      </c>
      <c r="F41" s="79" t="str">
        <f>IF(Resultats!G45="","",Resultats!G45/Resultats!$B45)</f>
        <v/>
      </c>
      <c r="G41" s="79">
        <f>IF(Resultats!H45="","",Resultats!H45/Resultats!$B45)</f>
        <v>0.9777204503</v>
      </c>
      <c r="H41" s="79">
        <f>IF(Resultats!I45="","",Resultats!I45/Resultats!$B45)</f>
        <v>0.9518644465</v>
      </c>
      <c r="I41" s="79" t="str">
        <f>IF(Resultats!J45="","",Resultats!J45/Resultats!$B45)</f>
        <v/>
      </c>
      <c r="J41" s="79" t="str">
        <f>IF(Resultats!K45="","",Resultats!K45/Resultats!$B45)</f>
        <v/>
      </c>
      <c r="K41" s="79" t="str">
        <f>IF(Resultats!L45="","",Resultats!L45/Resultats!$B45)</f>
        <v/>
      </c>
      <c r="L41" s="79" t="str">
        <f>IF(Resultats!M45="","",Resultats!M45/Resultats!$B45)</f>
        <v/>
      </c>
      <c r="M41" s="79" t="str">
        <f>IF(Resultats!N45="","",Resultats!N45/Resultats!$B45)</f>
        <v/>
      </c>
      <c r="N41" s="79" t="str">
        <f>IF(Resultats!O45="","",Resultats!O45/Resultats!$B45)</f>
        <v/>
      </c>
      <c r="P41" s="8" t="s">
        <v>19</v>
      </c>
      <c r="Q41" s="81">
        <v>0.9956870746143489</v>
      </c>
      <c r="S41" s="12" t="s">
        <v>5</v>
      </c>
      <c r="T41" s="13" t="s">
        <v>16</v>
      </c>
      <c r="U41" s="13" t="s">
        <v>17</v>
      </c>
      <c r="V41" s="13" t="s">
        <v>18</v>
      </c>
      <c r="W41" s="13" t="s">
        <v>19</v>
      </c>
      <c r="X41" s="13" t="s">
        <v>20</v>
      </c>
      <c r="Y41" s="13" t="s">
        <v>21</v>
      </c>
      <c r="Z41" s="13" t="s">
        <v>22</v>
      </c>
      <c r="AA41" s="13" t="s">
        <v>23</v>
      </c>
      <c r="AB41" s="13" t="s">
        <v>24</v>
      </c>
      <c r="AC41" s="13" t="s">
        <v>25</v>
      </c>
      <c r="AD41" s="13" t="s">
        <v>26</v>
      </c>
      <c r="AE41" s="13" t="s">
        <v>27</v>
      </c>
      <c r="AF41" s="13" t="s">
        <v>28</v>
      </c>
      <c r="AH41" s="8" t="s">
        <v>24</v>
      </c>
      <c r="AI41" s="81" t="s">
        <v>82</v>
      </c>
    </row>
    <row r="42">
      <c r="A42" s="78" t="str">
        <f>Resultats!A46</f>
        <v>medium_skew_dense_dejavu.in</v>
      </c>
      <c r="B42" s="79">
        <f>IF(Resultats!C46="","",Resultats!C46/Resultats!$B46)</f>
        <v>1</v>
      </c>
      <c r="C42" s="79" t="str">
        <f>IF(Resultats!D46="","",Resultats!D46/Resultats!$B46)</f>
        <v/>
      </c>
      <c r="D42" s="79">
        <f>IF(Resultats!E46="","",Resultats!E46/Resultats!$B46)</f>
        <v>1</v>
      </c>
      <c r="E42" s="79" t="str">
        <f>IF(Resultats!F46="","",Resultats!F46/Resultats!$B46)</f>
        <v/>
      </c>
      <c r="F42" s="79" t="str">
        <f>IF(Resultats!G46="","",Resultats!G46/Resultats!$B46)</f>
        <v/>
      </c>
      <c r="G42" s="79">
        <f>IF(Resultats!H46="","",Resultats!H46/Resultats!$B46)</f>
        <v>0.9691438356</v>
      </c>
      <c r="H42" s="79">
        <f>IF(Resultats!I46="","",Resultats!I46/Resultats!$B46)</f>
        <v>0.936</v>
      </c>
      <c r="I42" s="79" t="str">
        <f>IF(Resultats!J46="","",Resultats!J46/Resultats!$B46)</f>
        <v/>
      </c>
      <c r="J42" s="79" t="str">
        <f>IF(Resultats!K46="","",Resultats!K46/Resultats!$B46)</f>
        <v/>
      </c>
      <c r="K42" s="79" t="str">
        <f>IF(Resultats!L46="","",Resultats!L46/Resultats!$B46)</f>
        <v/>
      </c>
      <c r="L42" s="79" t="str">
        <f>IF(Resultats!M46="","",Resultats!M46/Resultats!$B46)</f>
        <v/>
      </c>
      <c r="M42" s="79" t="str">
        <f>IF(Resultats!N46="","",Resultats!N46/Resultats!$B46)</f>
        <v/>
      </c>
      <c r="N42" s="79" t="str">
        <f>IF(Resultats!O46="","",Resultats!O46/Resultats!$B46)</f>
        <v/>
      </c>
      <c r="P42" s="8" t="s">
        <v>20</v>
      </c>
      <c r="Q42" s="81">
        <v>0.97878667518776</v>
      </c>
      <c r="S42" s="12" t="s">
        <v>83</v>
      </c>
      <c r="T42" s="83">
        <f t="shared" ref="T42:AF42" si="2">IFERROR(AVERAGEIF(T4:T39,"&lt;&gt;0"),"")</f>
        <v>0.9685267723</v>
      </c>
      <c r="U42" s="83">
        <f t="shared" si="2"/>
        <v>0.4634728042</v>
      </c>
      <c r="V42" s="83">
        <f t="shared" si="2"/>
        <v>1.109132666</v>
      </c>
      <c r="W42" s="83">
        <f t="shared" si="2"/>
        <v>1.124969652</v>
      </c>
      <c r="X42" s="83">
        <f t="shared" si="2"/>
        <v>1.098044304</v>
      </c>
      <c r="Y42" s="83">
        <f t="shared" si="2"/>
        <v>0.9543684402</v>
      </c>
      <c r="Z42" s="83">
        <f t="shared" si="2"/>
        <v>1.103113491</v>
      </c>
      <c r="AA42" s="83" t="str">
        <f t="shared" si="2"/>
        <v/>
      </c>
      <c r="AB42" s="83" t="str">
        <f t="shared" si="2"/>
        <v/>
      </c>
      <c r="AC42" s="83">
        <f t="shared" si="2"/>
        <v>0.7780551751</v>
      </c>
      <c r="AD42" s="83">
        <f t="shared" si="2"/>
        <v>1.128285884</v>
      </c>
      <c r="AE42" s="83" t="str">
        <f t="shared" si="2"/>
        <v/>
      </c>
      <c r="AF42" s="83" t="str">
        <f t="shared" si="2"/>
        <v/>
      </c>
      <c r="AH42" s="8" t="s">
        <v>27</v>
      </c>
      <c r="AI42" s="81" t="s">
        <v>82</v>
      </c>
    </row>
    <row r="43">
      <c r="A43" s="78" t="str">
        <f>Resultats!A47</f>
        <v>medium_skew_sparse_lambda.in</v>
      </c>
      <c r="B43" s="79">
        <f>IF(Resultats!C47="","",Resultats!C47/Resultats!$B47)</f>
        <v>1</v>
      </c>
      <c r="C43" s="79" t="str">
        <f>IF(Resultats!D47="","",Resultats!D47/Resultats!$B47)</f>
        <v/>
      </c>
      <c r="D43" s="79">
        <f>IF(Resultats!E47="","",Resultats!E47/Resultats!$B47)</f>
        <v>1</v>
      </c>
      <c r="E43" s="79" t="str">
        <f>IF(Resultats!F47="","",Resultats!F47/Resultats!$B47)</f>
        <v/>
      </c>
      <c r="F43" s="79" t="str">
        <f>IF(Resultats!G47="","",Resultats!G47/Resultats!$B47)</f>
        <v/>
      </c>
      <c r="G43" s="79">
        <f>IF(Resultats!H47="","",Resultats!H47/Resultats!$B47)</f>
        <v>0.9910545051</v>
      </c>
      <c r="H43" s="79">
        <f>IF(Resultats!I47="","",Resultats!I47/Resultats!$B47)</f>
        <v>0.9606814294</v>
      </c>
      <c r="I43" s="79" t="str">
        <f>IF(Resultats!J47="","",Resultats!J47/Resultats!$B47)</f>
        <v/>
      </c>
      <c r="J43" s="79" t="str">
        <f>IF(Resultats!K47="","",Resultats!K47/Resultats!$B47)</f>
        <v/>
      </c>
      <c r="K43" s="79" t="str">
        <f>IF(Resultats!L47="","",Resultats!L47/Resultats!$B47)</f>
        <v/>
      </c>
      <c r="L43" s="79" t="str">
        <f>IF(Resultats!M47="","",Resultats!M47/Resultats!$B47)</f>
        <v/>
      </c>
      <c r="M43" s="79" t="str">
        <f>IF(Resultats!N47="","",Resultats!N47/Resultats!$B47)</f>
        <v/>
      </c>
      <c r="N43" s="79" t="str">
        <f>IF(Resultats!O47="","",Resultats!O47/Resultats!$B47)</f>
        <v/>
      </c>
      <c r="P43" s="8" t="s">
        <v>18</v>
      </c>
      <c r="Q43" s="81">
        <v>0.9617648088877171</v>
      </c>
      <c r="S43" s="12" t="s">
        <v>84</v>
      </c>
      <c r="T43" s="30">
        <f t="shared" ref="T43:AF43" si="3">IF(T42="", $N$4, RANK(T42,$T$42:$AF$42,0))</f>
        <v>6</v>
      </c>
      <c r="U43" s="30">
        <f t="shared" si="3"/>
        <v>9</v>
      </c>
      <c r="V43" s="30">
        <f t="shared" si="3"/>
        <v>3</v>
      </c>
      <c r="W43" s="30">
        <f t="shared" si="3"/>
        <v>2</v>
      </c>
      <c r="X43" s="30">
        <f t="shared" si="3"/>
        <v>5</v>
      </c>
      <c r="Y43" s="30">
        <f t="shared" si="3"/>
        <v>7</v>
      </c>
      <c r="Z43" s="30">
        <f t="shared" si="3"/>
        <v>4</v>
      </c>
      <c r="AA43" s="30">
        <f t="shared" si="3"/>
        <v>13</v>
      </c>
      <c r="AB43" s="30">
        <f t="shared" si="3"/>
        <v>13</v>
      </c>
      <c r="AC43" s="30">
        <f t="shared" si="3"/>
        <v>8</v>
      </c>
      <c r="AD43" s="30">
        <f t="shared" si="3"/>
        <v>1</v>
      </c>
      <c r="AE43" s="30">
        <f t="shared" si="3"/>
        <v>13</v>
      </c>
      <c r="AF43" s="30">
        <f t="shared" si="3"/>
        <v>13</v>
      </c>
      <c r="AH43" s="30" t="s">
        <v>28</v>
      </c>
      <c r="AI43" s="53" t="s">
        <v>82</v>
      </c>
    </row>
    <row r="44">
      <c r="A44" s="78" t="str">
        <f>Resultats!A48</f>
        <v>medium_flat_dense_dejavu.in</v>
      </c>
      <c r="B44" s="79">
        <f>IF(Resultats!C48="","",Resultats!C48/Resultats!$B48)</f>
        <v>1</v>
      </c>
      <c r="C44" s="79" t="str">
        <f>IF(Resultats!D48="","",Resultats!D48/Resultats!$B48)</f>
        <v/>
      </c>
      <c r="D44" s="79">
        <f>IF(Resultats!E48="","",Resultats!E48/Resultats!$B48)</f>
        <v>1</v>
      </c>
      <c r="E44" s="79" t="str">
        <f>IF(Resultats!F48="","",Resultats!F48/Resultats!$B48)</f>
        <v/>
      </c>
      <c r="F44" s="79" t="str">
        <f>IF(Resultats!G48="","",Resultats!G48/Resultats!$B48)</f>
        <v/>
      </c>
      <c r="G44" s="79">
        <f>IF(Resultats!H48="","",Resultats!H48/Resultats!$B48)</f>
        <v>0.9816942617</v>
      </c>
      <c r="H44" s="79">
        <f>IF(Resultats!I48="","",Resultats!I48/Resultats!$B48)</f>
        <v>0.9670429451</v>
      </c>
      <c r="I44" s="79" t="str">
        <f>IF(Resultats!J48="","",Resultats!J48/Resultats!$B48)</f>
        <v/>
      </c>
      <c r="J44" s="79" t="str">
        <f>IF(Resultats!K48="","",Resultats!K48/Resultats!$B48)</f>
        <v/>
      </c>
      <c r="K44" s="79" t="str">
        <f>IF(Resultats!L48="","",Resultats!L48/Resultats!$B48)</f>
        <v/>
      </c>
      <c r="L44" s="79" t="str">
        <f>IF(Resultats!M48="","",Resultats!M48/Resultats!$B48)</f>
        <v/>
      </c>
      <c r="M44" s="79" t="str">
        <f>IF(Resultats!N48="","",Resultats!N48/Resultats!$B48)</f>
        <v/>
      </c>
      <c r="N44" s="79" t="str">
        <f>IF(Resultats!O48="","",Resultats!O48/Resultats!$B48)</f>
        <v/>
      </c>
      <c r="P44" s="8" t="s">
        <v>22</v>
      </c>
      <c r="Q44" s="81">
        <v>0.9491895336500865</v>
      </c>
    </row>
    <row r="45">
      <c r="A45" s="78" t="str">
        <f>Resultats!A49</f>
        <v>medium_flat_sparse_lambda.in</v>
      </c>
      <c r="B45" s="79">
        <f>IF(Resultats!C49="","",Resultats!C49/Resultats!$B49)</f>
        <v>1</v>
      </c>
      <c r="C45" s="79" t="str">
        <f>IF(Resultats!D49="","",Resultats!D49/Resultats!$B49)</f>
        <v/>
      </c>
      <c r="D45" s="79">
        <f>IF(Resultats!E49="","",Resultats!E49/Resultats!$B49)</f>
        <v>1</v>
      </c>
      <c r="E45" s="79" t="str">
        <f>IF(Resultats!F49="","",Resultats!F49/Resultats!$B49)</f>
        <v/>
      </c>
      <c r="F45" s="79" t="str">
        <f>IF(Resultats!G49="","",Resultats!G49/Resultats!$B49)</f>
        <v/>
      </c>
      <c r="G45" s="79">
        <f>IF(Resultats!H49="","",Resultats!H49/Resultats!$B49)</f>
        <v>0.996097892</v>
      </c>
      <c r="H45" s="79">
        <f>IF(Resultats!I49="","",Resultats!I49/Resultats!$B49)</f>
        <v>0.9753573398</v>
      </c>
      <c r="I45" s="79" t="str">
        <f>IF(Resultats!J49="","",Resultats!J49/Resultats!$B49)</f>
        <v/>
      </c>
      <c r="J45" s="79" t="str">
        <f>IF(Resultats!K49="","",Resultats!K49/Resultats!$B49)</f>
        <v/>
      </c>
      <c r="K45" s="79" t="str">
        <f>IF(Resultats!L49="","",Resultats!L49/Resultats!$B49)</f>
        <v/>
      </c>
      <c r="L45" s="79" t="str">
        <f>IF(Resultats!M49="","",Resultats!M49/Resultats!$B49)</f>
        <v/>
      </c>
      <c r="M45" s="79" t="str">
        <f>IF(Resultats!N49="","",Resultats!N49/Resultats!$B49)</f>
        <v/>
      </c>
      <c r="N45" s="79" t="str">
        <f>IF(Resultats!O49="","",Resultats!O49/Resultats!$B49)</f>
        <v/>
      </c>
      <c r="P45" s="8" t="s">
        <v>16</v>
      </c>
      <c r="Q45" s="81">
        <v>0.8759974428540701</v>
      </c>
    </row>
    <row r="46">
      <c r="A46" s="64" t="str">
        <f>Resultats!A50</f>
        <v/>
      </c>
      <c r="B46" s="28" t="str">
        <f>IF(Resultats!C50="","",Resultats!C50/Resultats!$B50)</f>
        <v/>
      </c>
      <c r="C46" s="28" t="str">
        <f>IF(Resultats!D50="","",Resultats!D50/Resultats!$B50)</f>
        <v/>
      </c>
      <c r="D46" s="28" t="str">
        <f>IF(Resultats!E50="","",Resultats!E50/Resultats!$B50)</f>
        <v/>
      </c>
      <c r="E46" s="28" t="str">
        <f>IF(Resultats!F50="","",Resultats!F50/Resultats!$B50)</f>
        <v/>
      </c>
      <c r="F46" s="28" t="str">
        <f>IF(Resultats!G50="","",Resultats!G50/Resultats!$B50)</f>
        <v/>
      </c>
      <c r="G46" s="28" t="str">
        <f>IF(Resultats!H50="","",Resultats!H50/Resultats!$B50)</f>
        <v/>
      </c>
      <c r="H46" s="28" t="str">
        <f>IF(Resultats!I50="","",Resultats!I50/Resultats!$B50)</f>
        <v/>
      </c>
      <c r="I46" s="28" t="str">
        <f>IF(Resultats!J50="","",Resultats!J50/Resultats!$B50)</f>
        <v/>
      </c>
      <c r="J46" s="28" t="str">
        <f>IF(Resultats!K50="","",Resultats!K50/Resultats!$B50)</f>
        <v/>
      </c>
      <c r="K46" s="28" t="str">
        <f>IF(Resultats!L50="","",Resultats!L50/Resultats!$B50)</f>
        <v/>
      </c>
      <c r="L46" s="28" t="str">
        <f>IF(Resultats!M50="","",Resultats!M50/Resultats!$B50)</f>
        <v/>
      </c>
      <c r="M46" s="28" t="str">
        <f>IF(Resultats!N50="","",Resultats!N50/Resultats!$B50)</f>
        <v/>
      </c>
      <c r="N46" s="28" t="str">
        <f>IF(Resultats!O50="","",Resultats!O50/Resultats!$B50)</f>
        <v/>
      </c>
      <c r="P46" s="8" t="s">
        <v>21</v>
      </c>
      <c r="Q46" s="81">
        <v>0.8634700525014771</v>
      </c>
    </row>
    <row r="47">
      <c r="A47" s="64" t="str">
        <f>Resultats!A51</f>
        <v/>
      </c>
      <c r="B47" s="28" t="str">
        <f>IF(Resultats!C51="","",Resultats!C51/Resultats!$B51)</f>
        <v/>
      </c>
      <c r="C47" s="28" t="str">
        <f>IF(Resultats!D51="","",Resultats!D51/Resultats!$B51)</f>
        <v/>
      </c>
      <c r="D47" s="28" t="str">
        <f>IF(Resultats!E51="","",Resultats!E51/Resultats!$B51)</f>
        <v/>
      </c>
      <c r="E47" s="28" t="str">
        <f>IF(Resultats!F51="","",Resultats!F51/Resultats!$B51)</f>
        <v/>
      </c>
      <c r="F47" s="28" t="str">
        <f>IF(Resultats!G51="","",Resultats!G51/Resultats!$B51)</f>
        <v/>
      </c>
      <c r="G47" s="28" t="str">
        <f>IF(Resultats!H51="","",Resultats!H51/Resultats!$B51)</f>
        <v/>
      </c>
      <c r="H47" s="28" t="str">
        <f>IF(Resultats!I51="","",Resultats!I51/Resultats!$B51)</f>
        <v/>
      </c>
      <c r="I47" s="28" t="str">
        <f>IF(Resultats!J51="","",Resultats!J51/Resultats!$B51)</f>
        <v/>
      </c>
      <c r="J47" s="28" t="str">
        <f>IF(Resultats!K51="","",Resultats!K51/Resultats!$B51)</f>
        <v/>
      </c>
      <c r="K47" s="28" t="str">
        <f>IF(Resultats!L51="","",Resultats!L51/Resultats!$B51)</f>
        <v/>
      </c>
      <c r="L47" s="28" t="str">
        <f>IF(Resultats!M51="","",Resultats!M51/Resultats!$B51)</f>
        <v/>
      </c>
      <c r="M47" s="28" t="str">
        <f>IF(Resultats!N51="","",Resultats!N51/Resultats!$B51)</f>
        <v/>
      </c>
      <c r="N47" s="28" t="str">
        <f>IF(Resultats!O51="","",Resultats!O51/Resultats!$B51)</f>
        <v/>
      </c>
      <c r="P47" s="8" t="s">
        <v>25</v>
      </c>
      <c r="Q47" s="81">
        <v>0.7178754997017143</v>
      </c>
    </row>
    <row r="48">
      <c r="A48" s="64" t="str">
        <f>Resultats!A52</f>
        <v/>
      </c>
      <c r="B48" s="28" t="str">
        <f>IF(Resultats!C52="","",Resultats!C52/Resultats!$B52)</f>
        <v/>
      </c>
      <c r="C48" s="28" t="str">
        <f>IF(Resultats!D52="","",Resultats!D52/Resultats!$B52)</f>
        <v/>
      </c>
      <c r="D48" s="28" t="str">
        <f>IF(Resultats!E52="","",Resultats!E52/Resultats!$B52)</f>
        <v/>
      </c>
      <c r="E48" s="28" t="str">
        <f>IF(Resultats!F52="","",Resultats!F52/Resultats!$B52)</f>
        <v/>
      </c>
      <c r="F48" s="28" t="str">
        <f>IF(Resultats!G52="","",Resultats!G52/Resultats!$B52)</f>
        <v/>
      </c>
      <c r="G48" s="28" t="str">
        <f>IF(Resultats!H52="","",Resultats!H52/Resultats!$B52)</f>
        <v/>
      </c>
      <c r="H48" s="28" t="str">
        <f>IF(Resultats!I52="","",Resultats!I52/Resultats!$B52)</f>
        <v/>
      </c>
      <c r="I48" s="28" t="str">
        <f>IF(Resultats!J52="","",Resultats!J52/Resultats!$B52)</f>
        <v/>
      </c>
      <c r="J48" s="28" t="str">
        <f>IF(Resultats!K52="","",Resultats!K52/Resultats!$B52)</f>
        <v/>
      </c>
      <c r="K48" s="28" t="str">
        <f>IF(Resultats!L52="","",Resultats!L52/Resultats!$B52)</f>
        <v/>
      </c>
      <c r="L48" s="28" t="str">
        <f>IF(Resultats!M52="","",Resultats!M52/Resultats!$B52)</f>
        <v/>
      </c>
      <c r="M48" s="28" t="str">
        <f>IF(Resultats!N52="","",Resultats!N52/Resultats!$B52)</f>
        <v/>
      </c>
      <c r="N48" s="28" t="str">
        <f>IF(Resultats!O52="","",Resultats!O52/Resultats!$B52)</f>
        <v/>
      </c>
      <c r="P48" s="8" t="s">
        <v>17</v>
      </c>
      <c r="Q48" s="81">
        <v>0.4169984118274371</v>
      </c>
    </row>
    <row r="49">
      <c r="P49" s="8" t="s">
        <v>23</v>
      </c>
      <c r="Q49" s="81" t="s">
        <v>82</v>
      </c>
    </row>
    <row r="50">
      <c r="A50" s="12" t="s">
        <v>5</v>
      </c>
      <c r="B50" s="13" t="s">
        <v>16</v>
      </c>
      <c r="C50" s="13" t="s">
        <v>17</v>
      </c>
      <c r="D50" s="13" t="s">
        <v>18</v>
      </c>
      <c r="E50" s="13" t="s">
        <v>19</v>
      </c>
      <c r="F50" s="13" t="s">
        <v>20</v>
      </c>
      <c r="G50" s="13" t="s">
        <v>21</v>
      </c>
      <c r="H50" s="13" t="s">
        <v>22</v>
      </c>
      <c r="I50" s="13" t="s">
        <v>23</v>
      </c>
      <c r="J50" s="13" t="s">
        <v>24</v>
      </c>
      <c r="K50" s="13" t="s">
        <v>25</v>
      </c>
      <c r="L50" s="13" t="s">
        <v>26</v>
      </c>
      <c r="M50" s="13" t="s">
        <v>27</v>
      </c>
      <c r="N50" s="13" t="s">
        <v>28</v>
      </c>
      <c r="P50" s="8" t="s">
        <v>24</v>
      </c>
      <c r="Q50" s="81" t="s">
        <v>82</v>
      </c>
    </row>
    <row r="51">
      <c r="A51" s="12" t="s">
        <v>85</v>
      </c>
      <c r="B51" s="83">
        <f t="shared" ref="B51:N51" si="4">IFERROR(AVERAGEIF(B13:B48,"&lt;&gt;0"),"")</f>
        <v>0.8759974429</v>
      </c>
      <c r="C51" s="83">
        <f t="shared" si="4"/>
        <v>0.4169984118</v>
      </c>
      <c r="D51" s="83">
        <f t="shared" si="4"/>
        <v>0.9617648089</v>
      </c>
      <c r="E51" s="83">
        <f t="shared" si="4"/>
        <v>0.9956870746</v>
      </c>
      <c r="F51" s="83">
        <f t="shared" si="4"/>
        <v>0.9787866752</v>
      </c>
      <c r="G51" s="83">
        <f t="shared" si="4"/>
        <v>0.8634700525</v>
      </c>
      <c r="H51" s="83">
        <f t="shared" si="4"/>
        <v>0.9491895337</v>
      </c>
      <c r="I51" s="83" t="str">
        <f t="shared" si="4"/>
        <v/>
      </c>
      <c r="J51" s="83" t="str">
        <f t="shared" si="4"/>
        <v/>
      </c>
      <c r="K51" s="83">
        <f t="shared" si="4"/>
        <v>0.7178754997</v>
      </c>
      <c r="L51" s="83">
        <f t="shared" si="4"/>
        <v>0.9986588419</v>
      </c>
      <c r="M51" s="83" t="str">
        <f t="shared" si="4"/>
        <v/>
      </c>
      <c r="N51" s="83" t="str">
        <f t="shared" si="4"/>
        <v/>
      </c>
      <c r="P51" s="8" t="s">
        <v>27</v>
      </c>
      <c r="Q51" s="81" t="s">
        <v>82</v>
      </c>
    </row>
    <row r="52">
      <c r="A52" s="12" t="s">
        <v>84</v>
      </c>
      <c r="B52" s="30">
        <f t="shared" ref="B52:N52" si="5">IF(B51="", $N$4, RANK(B51,$B$51:$N$51,0))</f>
        <v>6</v>
      </c>
      <c r="C52" s="30">
        <f t="shared" si="5"/>
        <v>9</v>
      </c>
      <c r="D52" s="30">
        <f t="shared" si="5"/>
        <v>4</v>
      </c>
      <c r="E52" s="30">
        <f t="shared" si="5"/>
        <v>2</v>
      </c>
      <c r="F52" s="30">
        <f t="shared" si="5"/>
        <v>3</v>
      </c>
      <c r="G52" s="30">
        <f t="shared" si="5"/>
        <v>7</v>
      </c>
      <c r="H52" s="30">
        <f t="shared" si="5"/>
        <v>5</v>
      </c>
      <c r="I52" s="30">
        <f t="shared" si="5"/>
        <v>13</v>
      </c>
      <c r="J52" s="30">
        <f t="shared" si="5"/>
        <v>13</v>
      </c>
      <c r="K52" s="30">
        <f t="shared" si="5"/>
        <v>8</v>
      </c>
      <c r="L52" s="30">
        <f t="shared" si="5"/>
        <v>1</v>
      </c>
      <c r="M52" s="30">
        <f t="shared" si="5"/>
        <v>13</v>
      </c>
      <c r="N52" s="30">
        <f t="shared" si="5"/>
        <v>13</v>
      </c>
      <c r="P52" s="30" t="s">
        <v>28</v>
      </c>
      <c r="Q52" s="53" t="s">
        <v>82</v>
      </c>
    </row>
    <row r="54">
      <c r="A54" s="12" t="s">
        <v>5</v>
      </c>
      <c r="B54" s="13" t="s">
        <v>16</v>
      </c>
      <c r="C54" s="13" t="s">
        <v>17</v>
      </c>
      <c r="D54" s="13" t="s">
        <v>18</v>
      </c>
      <c r="E54" s="13" t="s">
        <v>19</v>
      </c>
      <c r="F54" s="13" t="s">
        <v>20</v>
      </c>
      <c r="G54" s="13" t="s">
        <v>21</v>
      </c>
      <c r="H54" s="13" t="s">
        <v>22</v>
      </c>
      <c r="I54" s="13" t="s">
        <v>23</v>
      </c>
      <c r="J54" s="13" t="s">
        <v>24</v>
      </c>
      <c r="K54" s="13" t="s">
        <v>25</v>
      </c>
      <c r="L54" s="13" t="s">
        <v>26</v>
      </c>
      <c r="M54" s="13" t="s">
        <v>27</v>
      </c>
      <c r="N54" s="13" t="s">
        <v>28</v>
      </c>
    </row>
    <row r="55">
      <c r="A55" s="12" t="s">
        <v>86</v>
      </c>
      <c r="B55" s="83">
        <f t="shared" ref="B55:N55" si="6">IFERROR(SUM(B13:B48)/ROWS(B13:B48),"")</f>
        <v>0.8029976559</v>
      </c>
      <c r="C55" s="83">
        <f t="shared" si="6"/>
        <v>0.104249603</v>
      </c>
      <c r="D55" s="83">
        <f t="shared" si="6"/>
        <v>0.8816177415</v>
      </c>
      <c r="E55" s="83">
        <f t="shared" si="6"/>
        <v>0.2489217687</v>
      </c>
      <c r="F55" s="83">
        <f t="shared" si="6"/>
        <v>0.5165818563</v>
      </c>
      <c r="G55" s="83">
        <f t="shared" si="6"/>
        <v>0.7915142148</v>
      </c>
      <c r="H55" s="83">
        <f t="shared" si="6"/>
        <v>0.8700904058</v>
      </c>
      <c r="I55" s="83">
        <f t="shared" si="6"/>
        <v>0</v>
      </c>
      <c r="J55" s="83">
        <f t="shared" si="6"/>
        <v>0</v>
      </c>
      <c r="K55" s="83">
        <f t="shared" si="6"/>
        <v>0.3389967637</v>
      </c>
      <c r="L55" s="83">
        <f t="shared" si="6"/>
        <v>0.2496647105</v>
      </c>
      <c r="M55" s="83">
        <f t="shared" si="6"/>
        <v>0</v>
      </c>
      <c r="N55" s="83">
        <f t="shared" si="6"/>
        <v>0</v>
      </c>
    </row>
    <row r="56">
      <c r="A56" s="12" t="s">
        <v>84</v>
      </c>
      <c r="B56" s="30">
        <f t="shared" ref="B56:N56" si="7">IF(B55="", $N$4, RANK(B55,$B$55:$N$55,0))</f>
        <v>3</v>
      </c>
      <c r="C56" s="30">
        <f t="shared" si="7"/>
        <v>9</v>
      </c>
      <c r="D56" s="30">
        <f t="shared" si="7"/>
        <v>1</v>
      </c>
      <c r="E56" s="30">
        <f t="shared" si="7"/>
        <v>8</v>
      </c>
      <c r="F56" s="30">
        <f t="shared" si="7"/>
        <v>5</v>
      </c>
      <c r="G56" s="30">
        <f t="shared" si="7"/>
        <v>4</v>
      </c>
      <c r="H56" s="30">
        <f t="shared" si="7"/>
        <v>2</v>
      </c>
      <c r="I56" s="30">
        <f t="shared" si="7"/>
        <v>10</v>
      </c>
      <c r="J56" s="30">
        <f t="shared" si="7"/>
        <v>10</v>
      </c>
      <c r="K56" s="30">
        <f t="shared" si="7"/>
        <v>6</v>
      </c>
      <c r="L56" s="30">
        <f t="shared" si="7"/>
        <v>7</v>
      </c>
      <c r="M56" s="30">
        <f t="shared" si="7"/>
        <v>10</v>
      </c>
      <c r="N56" s="30">
        <f t="shared" si="7"/>
        <v>10</v>
      </c>
    </row>
    <row r="58">
      <c r="A58" s="12" t="s">
        <v>5</v>
      </c>
      <c r="B58" s="13" t="s">
        <v>16</v>
      </c>
      <c r="C58" s="13" t="s">
        <v>17</v>
      </c>
      <c r="D58" s="13" t="s">
        <v>18</v>
      </c>
      <c r="E58" s="13" t="s">
        <v>19</v>
      </c>
      <c r="F58" s="13" t="s">
        <v>20</v>
      </c>
      <c r="G58" s="13" t="s">
        <v>21</v>
      </c>
      <c r="H58" s="13" t="s">
        <v>22</v>
      </c>
      <c r="I58" s="13" t="s">
        <v>23</v>
      </c>
      <c r="J58" s="13" t="s">
        <v>24</v>
      </c>
      <c r="K58" s="13" t="s">
        <v>25</v>
      </c>
      <c r="L58" s="13" t="s">
        <v>26</v>
      </c>
      <c r="M58" s="13" t="s">
        <v>27</v>
      </c>
      <c r="N58" s="13" t="s">
        <v>28</v>
      </c>
    </row>
    <row r="59">
      <c r="A59" s="12" t="s">
        <v>87</v>
      </c>
      <c r="B59" s="84">
        <f t="shared" ref="B59:N59" si="8">sum(B13:B48)</f>
        <v>28.90791561</v>
      </c>
      <c r="C59" s="84">
        <f t="shared" si="8"/>
        <v>3.752985706</v>
      </c>
      <c r="D59" s="84">
        <f t="shared" si="8"/>
        <v>31.73823869</v>
      </c>
      <c r="E59" s="84">
        <f t="shared" si="8"/>
        <v>8.961183672</v>
      </c>
      <c r="F59" s="84">
        <f t="shared" si="8"/>
        <v>18.59694683</v>
      </c>
      <c r="G59" s="84">
        <f t="shared" si="8"/>
        <v>28.49451173</v>
      </c>
      <c r="H59" s="84">
        <f t="shared" si="8"/>
        <v>31.32325461</v>
      </c>
      <c r="I59" s="84">
        <f t="shared" si="8"/>
        <v>0</v>
      </c>
      <c r="J59" s="84">
        <f t="shared" si="8"/>
        <v>0</v>
      </c>
      <c r="K59" s="84">
        <f t="shared" si="8"/>
        <v>12.20388349</v>
      </c>
      <c r="L59" s="84">
        <f t="shared" si="8"/>
        <v>8.987929578</v>
      </c>
      <c r="M59" s="84">
        <f t="shared" si="8"/>
        <v>0</v>
      </c>
      <c r="N59" s="84">
        <f t="shared" si="8"/>
        <v>0</v>
      </c>
    </row>
    <row r="60">
      <c r="A60" s="12" t="s">
        <v>84</v>
      </c>
      <c r="B60" s="30">
        <f t="shared" ref="B60:N60" si="9">RANK(B59,$B59:$N59)</f>
        <v>3</v>
      </c>
      <c r="C60" s="30">
        <f t="shared" si="9"/>
        <v>9</v>
      </c>
      <c r="D60" s="30">
        <f t="shared" si="9"/>
        <v>1</v>
      </c>
      <c r="E60" s="30">
        <f t="shared" si="9"/>
        <v>8</v>
      </c>
      <c r="F60" s="30">
        <f t="shared" si="9"/>
        <v>5</v>
      </c>
      <c r="G60" s="30">
        <f t="shared" si="9"/>
        <v>4</v>
      </c>
      <c r="H60" s="30">
        <f t="shared" si="9"/>
        <v>2</v>
      </c>
      <c r="I60" s="30">
        <f t="shared" si="9"/>
        <v>10</v>
      </c>
      <c r="J60" s="30">
        <f t="shared" si="9"/>
        <v>10</v>
      </c>
      <c r="K60" s="30">
        <f t="shared" si="9"/>
        <v>6</v>
      </c>
      <c r="L60" s="30">
        <f t="shared" si="9"/>
        <v>7</v>
      </c>
      <c r="M60" s="30">
        <f t="shared" si="9"/>
        <v>10</v>
      </c>
      <c r="N60" s="30">
        <f t="shared" si="9"/>
        <v>10</v>
      </c>
    </row>
    <row r="105">
      <c r="A105" s="85"/>
      <c r="B105" s="85"/>
      <c r="C105" s="85"/>
      <c r="D105" s="85"/>
      <c r="N105" s="9">
        <f>COUNTA(B106:N106)</f>
        <v>13</v>
      </c>
    </row>
    <row r="106">
      <c r="A106" s="12" t="s">
        <v>5</v>
      </c>
      <c r="B106" s="13" t="s">
        <v>16</v>
      </c>
      <c r="C106" s="13" t="s">
        <v>17</v>
      </c>
      <c r="D106" s="13" t="s">
        <v>18</v>
      </c>
      <c r="E106" s="13" t="s">
        <v>19</v>
      </c>
      <c r="F106" s="13" t="s">
        <v>20</v>
      </c>
      <c r="G106" s="13" t="s">
        <v>21</v>
      </c>
      <c r="H106" s="13" t="s">
        <v>22</v>
      </c>
      <c r="I106" s="13" t="s">
        <v>23</v>
      </c>
      <c r="J106" s="13" t="s">
        <v>24</v>
      </c>
      <c r="K106" s="13" t="s">
        <v>25</v>
      </c>
      <c r="L106" s="13" t="s">
        <v>26</v>
      </c>
      <c r="M106" s="13" t="s">
        <v>27</v>
      </c>
      <c r="N106" s="13" t="s">
        <v>28</v>
      </c>
    </row>
    <row r="107">
      <c r="A107" s="15" t="s">
        <v>32</v>
      </c>
      <c r="B107" s="86">
        <f>IF(Resultats!C4="","",(Resultats!C4-Resultats!$P4)/(Resultats!$B4-Resultats!$P4))</f>
        <v>0.9969668882</v>
      </c>
      <c r="C107" s="86">
        <f>IF(Resultats!D4="","",(Resultats!D4-Resultats!$P4)/(Resultats!$B4-Resultats!$P4))</f>
        <v>0.3777384263</v>
      </c>
      <c r="D107" s="86">
        <f>IF(Resultats!E4="","",(Resultats!E4-Resultats!$P4)/(Resultats!$B4-Resultats!$P4))</f>
        <v>0.9959330095</v>
      </c>
      <c r="E107" s="86">
        <f>IF(Resultats!F4="","",(Resultats!F4-Resultats!$P4)/(Resultats!$B4-Resultats!$P4))</f>
        <v>0.9964367248</v>
      </c>
      <c r="F107" s="86">
        <f>IF(Resultats!G4="","",(Resultats!G4-Resultats!$P4)/(Resultats!$B4-Resultats!$P4))</f>
        <v>0.930698866</v>
      </c>
      <c r="G107" s="86">
        <f>IF(Resultats!H4="","",(Resultats!H4-Resultats!$P4)/(Resultats!$B4-Resultats!$P4))</f>
        <v>0.9266835694</v>
      </c>
      <c r="H107" s="86">
        <f>IF(Resultats!I4="","",(Resultats!I4-Resultats!$P4)/(Resultats!$B4-Resultats!$P4))</f>
        <v>0.8002017266</v>
      </c>
      <c r="I107" s="86" t="str">
        <f>IF(Resultats!J4="","",(Resultats!J4-Resultats!$P4)/(Resultats!$B4-Resultats!$P4))</f>
        <v/>
      </c>
      <c r="J107" s="86" t="str">
        <f>IF(Resultats!K4="","",(Resultats!K4-Resultats!$P4)/(Resultats!$B4-Resultats!$P4))</f>
        <v/>
      </c>
      <c r="K107" s="86">
        <f>IF(Resultats!L4="","",(Resultats!L4-Resultats!$P4)/(Resultats!$B4-Resultats!$P4))</f>
        <v>0</v>
      </c>
      <c r="L107" s="86">
        <f>IF(Resultats!M4="","",(Resultats!M4-Resultats!$P4)/(Resultats!$B4-Resultats!$P4))</f>
        <v>1</v>
      </c>
      <c r="M107" s="86" t="str">
        <f>IF(Resultats!N4="","",(Resultats!N4-Resultats!$P4)/(Resultats!$B4-Resultats!$P4))</f>
        <v/>
      </c>
      <c r="N107" s="86" t="str">
        <f>IF(Resultats!O4="","",(Resultats!O4-Resultats!$P4)/(Resultats!$B4-Resultats!$P4))</f>
        <v/>
      </c>
    </row>
    <row r="108">
      <c r="A108" s="15" t="s">
        <v>33</v>
      </c>
      <c r="B108" s="86">
        <f>IF(Resultats!C5="","",(Resultats!C5-Resultats!$P5)/(Resultats!$B5-Resultats!$P5))</f>
        <v>0.9597272008</v>
      </c>
      <c r="C108" s="86">
        <f>IF(Resultats!D5="","",(Resultats!D5-Resultats!$P5)/(Resultats!$B5-Resultats!$P5))</f>
        <v>0</v>
      </c>
      <c r="D108" s="86">
        <f>IF(Resultats!E5="","",(Resultats!E5-Resultats!$P5)/(Resultats!$B5-Resultats!$P5))</f>
        <v>0.9793212606</v>
      </c>
      <c r="E108" s="86">
        <f>IF(Resultats!F5="","",(Resultats!F5-Resultats!$P5)/(Resultats!$B5-Resultats!$P5))</f>
        <v>0.9597272008</v>
      </c>
      <c r="F108" s="86">
        <f>IF(Resultats!G5="","",(Resultats!G5-Resultats!$P5)/(Resultats!$B5-Resultats!$P5))</f>
        <v>0.9490805828</v>
      </c>
      <c r="G108" s="86">
        <f>IF(Resultats!H5="","",(Resultats!H5-Resultats!$P5)/(Resultats!$B5-Resultats!$P5))</f>
        <v>0.9103533355</v>
      </c>
      <c r="H108" s="86">
        <f>IF(Resultats!I5="","",(Resultats!I5-Resultats!$P5)/(Resultats!$B5-Resultats!$P5))</f>
        <v>0.8818723523</v>
      </c>
      <c r="I108" s="86" t="str">
        <f>IF(Resultats!J5="","",(Resultats!J5-Resultats!$P5)/(Resultats!$B5-Resultats!$P5))</f>
        <v/>
      </c>
      <c r="J108" s="86" t="str">
        <f>IF(Resultats!K5="","",(Resultats!K5-Resultats!$P5)/(Resultats!$B5-Resultats!$P5))</f>
        <v/>
      </c>
      <c r="K108" s="86">
        <f>IF(Resultats!L5="","",(Resultats!L5-Resultats!$P5)/(Resultats!$B5-Resultats!$P5))</f>
        <v>0.7573297333</v>
      </c>
      <c r="L108" s="86">
        <f>IF(Resultats!M5="","",(Resultats!M5-Resultats!$P5)/(Resultats!$B5-Resultats!$P5))</f>
        <v>1</v>
      </c>
      <c r="M108" s="86" t="str">
        <f>IF(Resultats!N5="","",(Resultats!N5-Resultats!$P5)/(Resultats!$B5-Resultats!$P5))</f>
        <v/>
      </c>
      <c r="N108" s="86" t="str">
        <f>IF(Resultats!O5="","",(Resultats!O5-Resultats!$P5)/(Resultats!$B5-Resultats!$P5))</f>
        <v/>
      </c>
    </row>
    <row r="109">
      <c r="A109" s="15" t="s">
        <v>34</v>
      </c>
      <c r="B109" s="86">
        <f>IF(Resultats!C6="","",(Resultats!C6-Resultats!$P6)/(Resultats!$B6-Resultats!$P6))</f>
        <v>0.9998033773</v>
      </c>
      <c r="C109" s="86">
        <f>IF(Resultats!D6="","",(Resultats!D6-Resultats!$P6)/(Resultats!$B6-Resultats!$P6))</f>
        <v>0</v>
      </c>
      <c r="D109" s="86">
        <f>IF(Resultats!E6="","",(Resultats!E6-Resultats!$P6)/(Resultats!$B6-Resultats!$P6))</f>
        <v>0.9998033773</v>
      </c>
      <c r="E109" s="86">
        <f>IF(Resultats!F6="","",(Resultats!F6-Resultats!$P6)/(Resultats!$B6-Resultats!$P6))</f>
        <v>0.9998033773</v>
      </c>
      <c r="F109" s="86">
        <f>IF(Resultats!G6="","",(Resultats!G6-Resultats!$P6)/(Resultats!$B6-Resultats!$P6))</f>
        <v>0.9998785566</v>
      </c>
      <c r="G109" s="86">
        <f>IF(Resultats!H6="","",(Resultats!H6-Resultats!$P6)/(Resultats!$B6-Resultats!$P6))</f>
        <v>0.9998033773</v>
      </c>
      <c r="H109" s="86">
        <f>IF(Resultats!I6="","",(Resultats!I6-Resultats!$P6)/(Resultats!$B6-Resultats!$P6))</f>
        <v>0.9999479528</v>
      </c>
      <c r="I109" s="86" t="str">
        <f>IF(Resultats!J6="","",(Resultats!J6-Resultats!$P6)/(Resultats!$B6-Resultats!$P6))</f>
        <v/>
      </c>
      <c r="J109" s="86" t="str">
        <f>IF(Resultats!K6="","",(Resultats!K6-Resultats!$P6)/(Resultats!$B6-Resultats!$P6))</f>
        <v/>
      </c>
      <c r="K109" s="86">
        <f>IF(Resultats!L6="","",(Resultats!L6-Resultats!$P6)/(Resultats!$B6-Resultats!$P6))</f>
        <v>0.9988260467</v>
      </c>
      <c r="L109" s="86">
        <f>IF(Resultats!M6="","",(Resultats!M6-Resultats!$P6)/(Resultats!$B6-Resultats!$P6))</f>
        <v>1</v>
      </c>
      <c r="M109" s="86" t="str">
        <f>IF(Resultats!N6="","",(Resultats!N6-Resultats!$P6)/(Resultats!$B6-Resultats!$P6))</f>
        <v/>
      </c>
      <c r="N109" s="86" t="str">
        <f>IF(Resultats!O6="","",(Resultats!O6-Resultats!$P6)/(Resultats!$B6-Resultats!$P6))</f>
        <v/>
      </c>
    </row>
    <row r="110">
      <c r="A110" s="15" t="s">
        <v>35</v>
      </c>
      <c r="B110" s="86">
        <f>IF(Resultats!C7="","",(Resultats!C7-Resultats!$P7)/(Resultats!$B7-Resultats!$P7))</f>
        <v>0.9950016701</v>
      </c>
      <c r="C110" s="86">
        <f>IF(Resultats!D7="","",(Resultats!D7-Resultats!$P7)/(Resultats!$B7-Resultats!$P7))</f>
        <v>0</v>
      </c>
      <c r="D110" s="86">
        <f>IF(Resultats!E7="","",(Resultats!E7-Resultats!$P7)/(Resultats!$B7-Resultats!$P7))</f>
        <v>0.9933044759</v>
      </c>
      <c r="E110" s="86">
        <f>IF(Resultats!F7="","",(Resultats!F7-Resultats!$P7)/(Resultats!$B7-Resultats!$P7))</f>
        <v>0.9912512271</v>
      </c>
      <c r="F110" s="86">
        <f>IF(Resultats!G7="","",(Resultats!G7-Resultats!$P7)/(Resultats!$B7-Resultats!$P7))</f>
        <v>0.984035185</v>
      </c>
      <c r="G110" s="86">
        <f>IF(Resultats!H7="","",(Resultats!H7-Resultats!$P7)/(Resultats!$B7-Resultats!$P7))</f>
        <v>0.9815377155</v>
      </c>
      <c r="H110" s="86">
        <f>IF(Resultats!I7="","",(Resultats!I7-Resultats!$P7)/(Resultats!$B7-Resultats!$P7))</f>
        <v>0.9085007214</v>
      </c>
      <c r="I110" s="86" t="str">
        <f>IF(Resultats!J7="","",(Resultats!J7-Resultats!$P7)/(Resultats!$B7-Resultats!$P7))</f>
        <v/>
      </c>
      <c r="J110" s="86" t="str">
        <f>IF(Resultats!K7="","",(Resultats!K7-Resultats!$P7)/(Resultats!$B7-Resultats!$P7))</f>
        <v/>
      </c>
      <c r="K110" s="86">
        <f>IF(Resultats!L7="","",(Resultats!L7-Resultats!$P7)/(Resultats!$B7-Resultats!$P7))</f>
        <v>0.8692329734</v>
      </c>
      <c r="L110" s="86">
        <f>IF(Resultats!M7="","",(Resultats!M7-Resultats!$P7)/(Resultats!$B7-Resultats!$P7))</f>
        <v>1</v>
      </c>
      <c r="M110" s="86" t="str">
        <f>IF(Resultats!N7="","",(Resultats!N7-Resultats!$P7)/(Resultats!$B7-Resultats!$P7))</f>
        <v/>
      </c>
      <c r="N110" s="86" t="str">
        <f>IF(Resultats!O7="","",(Resultats!O7-Resultats!$P7)/(Resultats!$B7-Resultats!$P7))</f>
        <v/>
      </c>
    </row>
    <row r="111">
      <c r="A111" s="64" t="s">
        <v>48</v>
      </c>
      <c r="B111" s="86">
        <f>IF(Resultats!C21="","",(Resultats!C21-Resultats!$P21)/(Resultats!$B21-Resultats!$P21))</f>
        <v>1</v>
      </c>
      <c r="C111" s="86">
        <f>IF(Resultats!D21="","",(Resultats!D21-Resultats!$P21)/(Resultats!$B21-Resultats!$P21))</f>
        <v>0</v>
      </c>
      <c r="D111" s="86">
        <f>IF(Resultats!E21="","",(Resultats!E21-Resultats!$P21)/(Resultats!$B21-Resultats!$P21))</f>
        <v>0.9974318315</v>
      </c>
      <c r="E111" s="86">
        <f>IF(Resultats!F21="","",(Resultats!F21-Resultats!$P21)/(Resultats!$B21-Resultats!$P21))</f>
        <v>0.9953635079</v>
      </c>
      <c r="F111" s="86">
        <f>IF(Resultats!G21="","",(Resultats!G21-Resultats!$P21)/(Resultats!$B21-Resultats!$P21))</f>
        <v>0.9635630322</v>
      </c>
      <c r="G111" s="86">
        <f>IF(Resultats!H21="","",(Resultats!H21-Resultats!$P21)/(Resultats!$B21-Resultats!$P21))</f>
        <v>0.958323279</v>
      </c>
      <c r="H111" s="86">
        <f>IF(Resultats!I21="","",(Resultats!I21-Resultats!$P21)/(Resultats!$B21-Resultats!$P21))</f>
        <v>0.9154917439</v>
      </c>
      <c r="I111" s="86" t="str">
        <f>IF(Resultats!J21="","",(Resultats!J21-Resultats!$P21)/(Resultats!$B21-Resultats!$P21))</f>
        <v/>
      </c>
      <c r="J111" s="86" t="str">
        <f>IF(Resultats!K21="","",(Resultats!K21-Resultats!$P21)/(Resultats!$B21-Resultats!$P21))</f>
        <v/>
      </c>
      <c r="K111" s="86">
        <f>IF(Resultats!L21="","",(Resultats!L21-Resultats!$P21)/(Resultats!$B21-Resultats!$P21))</f>
        <v>0.750560171</v>
      </c>
      <c r="L111" s="86">
        <f>IF(Resultats!M21="","",(Resultats!M21-Resultats!$P21)/(Resultats!$B21-Resultats!$P21))</f>
        <v>0.9946223586</v>
      </c>
      <c r="M111" s="86" t="str">
        <f>IF(Resultats!N21="","",(Resultats!N21-Resultats!$P21)/(Resultats!$B21-Resultats!$P21))</f>
        <v/>
      </c>
      <c r="N111" s="86" t="str">
        <f>IF(Resultats!O21="","",(Resultats!O21-Resultats!$P21)/(Resultats!$B21-Resultats!$P21))</f>
        <v/>
      </c>
    </row>
    <row r="112">
      <c r="A112" s="64" t="s">
        <v>49</v>
      </c>
      <c r="B112" s="86">
        <f>IF(Resultats!C22="","",(Resultats!C22-Resultats!$P22)/(Resultats!$B22-Resultats!$P22))</f>
        <v>1</v>
      </c>
      <c r="C112" s="86">
        <f>IF(Resultats!D22="","",(Resultats!D22-Resultats!$P22)/(Resultats!$B22-Resultats!$P22))</f>
        <v>0</v>
      </c>
      <c r="D112" s="86">
        <f>IF(Resultats!E22="","",(Resultats!E22-Resultats!$P22)/(Resultats!$B22-Resultats!$P22))</f>
        <v>0.9992215198</v>
      </c>
      <c r="E112" s="86">
        <f>IF(Resultats!F22="","",(Resultats!F22-Resultats!$P22)/(Resultats!$B22-Resultats!$P22))</f>
        <v>0.9972331779</v>
      </c>
      <c r="F112" s="86">
        <f>IF(Resultats!G22="","",(Resultats!G22-Resultats!$P22)/(Resultats!$B22-Resultats!$P22))</f>
        <v>0.9998876233</v>
      </c>
      <c r="G112" s="86">
        <f>IF(Resultats!H22="","",(Resultats!H22-Resultats!$P22)/(Resultats!$B22-Resultats!$P22))</f>
        <v>0.9991589876</v>
      </c>
      <c r="H112" s="86">
        <f>IF(Resultats!I22="","",(Resultats!I22-Resultats!$P22)/(Resultats!$B22-Resultats!$P22))</f>
        <v>0.9966567944</v>
      </c>
      <c r="I112" s="86" t="str">
        <f>IF(Resultats!J22="","",(Resultats!J22-Resultats!$P22)/(Resultats!$B22-Resultats!$P22))</f>
        <v/>
      </c>
      <c r="J112" s="86" t="str">
        <f>IF(Resultats!K22="","",(Resultats!K22-Resultats!$P22)/(Resultats!$B22-Resultats!$P22))</f>
        <v/>
      </c>
      <c r="K112" s="86">
        <f>IF(Resultats!L22="","",(Resultats!L22-Resultats!$P22)/(Resultats!$B22-Resultats!$P22))</f>
        <v>0.8694935438</v>
      </c>
      <c r="L112" s="86">
        <f>IF(Resultats!M22="","",(Resultats!M22-Resultats!$P22)/(Resultats!$B22-Resultats!$P22))</f>
        <v>0.9970111434</v>
      </c>
      <c r="M112" s="86" t="str">
        <f>IF(Resultats!N22="","",(Resultats!N22-Resultats!$P22)/(Resultats!$B22-Resultats!$P22))</f>
        <v/>
      </c>
      <c r="N112" s="86" t="str">
        <f>IF(Resultats!O22="","",(Resultats!O22-Resultats!$P22)/(Resultats!$B22-Resultats!$P22))</f>
        <v/>
      </c>
    </row>
    <row r="113">
      <c r="A113" s="64" t="s">
        <v>15</v>
      </c>
      <c r="B113" s="86">
        <f>IF(Resultats!C23="","",(Resultats!C23-Resultats!$P23)/(Resultats!$B23-Resultats!$P23))</f>
        <v>1</v>
      </c>
      <c r="C113" s="86">
        <f>IF(Resultats!D23="","",(Resultats!D23-Resultats!$P23)/(Resultats!$B23-Resultats!$P23))</f>
        <v>0.3815192723</v>
      </c>
      <c r="D113" s="86">
        <f>IF(Resultats!E23="","",(Resultats!E23-Resultats!$P23)/(Resultats!$B23-Resultats!$P23))</f>
        <v>0.9994041646</v>
      </c>
      <c r="E113" s="86">
        <f>IF(Resultats!F23="","",(Resultats!F23-Resultats!$P23)/(Resultats!$B23-Resultats!$P23))</f>
        <v>0.9992219373</v>
      </c>
      <c r="F113" s="86">
        <f>IF(Resultats!G23="","",(Resultats!G23-Resultats!$P23)/(Resultats!$B23-Resultats!$P23))</f>
        <v>0.9955869818</v>
      </c>
      <c r="G113" s="86">
        <f>IF(Resultats!H23="","",(Resultats!H23-Resultats!$P23)/(Resultats!$B23-Resultats!$P23))</f>
        <v>0.9955306352</v>
      </c>
      <c r="H113" s="86">
        <f>IF(Resultats!I23="","",(Resultats!I23-Resultats!$P23)/(Resultats!$B23-Resultats!$P23))</f>
        <v>0.9956277432</v>
      </c>
      <c r="I113" s="86" t="str">
        <f>IF(Resultats!J23="","",(Resultats!J23-Resultats!$P23)/(Resultats!$B23-Resultats!$P23))</f>
        <v/>
      </c>
      <c r="J113" s="86" t="str">
        <f>IF(Resultats!K23="","",(Resultats!K23-Resultats!$P23)/(Resultats!$B23-Resultats!$P23))</f>
        <v/>
      </c>
      <c r="K113" s="86">
        <f>IF(Resultats!L23="","",(Resultats!L23-Resultats!$P23)/(Resultats!$B23-Resultats!$P23))</f>
        <v>0</v>
      </c>
      <c r="L113" s="86">
        <f>IF(Resultats!M23="","",(Resultats!M23-Resultats!$P23)/(Resultats!$B23-Resultats!$P23))</f>
        <v>0.9992219373</v>
      </c>
      <c r="M113" s="86" t="str">
        <f>IF(Resultats!N23="","",(Resultats!N23-Resultats!$P23)/(Resultats!$B23-Resultats!$P23))</f>
        <v/>
      </c>
      <c r="N113" s="86" t="str">
        <f>IF(Resultats!O23="","",(Resultats!O23-Resultats!$P23)/(Resultats!$B23-Resultats!$P23))</f>
        <v/>
      </c>
    </row>
    <row r="114">
      <c r="A114" s="64" t="s">
        <v>76</v>
      </c>
      <c r="B114" s="86">
        <f>IF(Resultats!C24="","",(Resultats!C24-Resultats!$P24)/(Resultats!$B24-Resultats!$P24))</f>
        <v>1</v>
      </c>
      <c r="C114" s="86">
        <f>IF(Resultats!D24="","",(Resultats!D24-Resultats!$P24)/(Resultats!$B24-Resultats!$P24))</f>
        <v>0.7537489161</v>
      </c>
      <c r="D114" s="86">
        <f>IF(Resultats!E24="","",(Resultats!E24-Resultats!$P24)/(Resultats!$B24-Resultats!$P24))</f>
        <v>0.9969493167</v>
      </c>
      <c r="E114" s="86">
        <f>IF(Resultats!F24="","",(Resultats!F24-Resultats!$P24)/(Resultats!$B24-Resultats!$P24))</f>
        <v>0.9969714097</v>
      </c>
      <c r="F114" s="86">
        <f>IF(Resultats!G24="","",(Resultats!G24-Resultats!$P24)/(Resultats!$B24-Resultats!$P24))</f>
        <v>0.9969714097</v>
      </c>
      <c r="G114" s="86">
        <f>IF(Resultats!H24="","",(Resultats!H24-Resultats!$P24)/(Resultats!$B24-Resultats!$P24))</f>
        <v>0.8521385161</v>
      </c>
      <c r="H114" s="86">
        <f>IF(Resultats!I24="","",(Resultats!I24-Resultats!$P24)/(Resultats!$B24-Resultats!$P24))</f>
        <v>0.7884239732</v>
      </c>
      <c r="I114" s="86" t="str">
        <f>IF(Resultats!J24="","",(Resultats!J24-Resultats!$P24)/(Resultats!$B24-Resultats!$P24))</f>
        <v/>
      </c>
      <c r="J114" s="86" t="str">
        <f>IF(Resultats!K24="","",(Resultats!K24-Resultats!$P24)/(Resultats!$B24-Resultats!$P24))</f>
        <v/>
      </c>
      <c r="K114" s="86">
        <f>IF(Resultats!L24="","",(Resultats!L24-Resultats!$P24)/(Resultats!$B24-Resultats!$P24))</f>
        <v>0</v>
      </c>
      <c r="L114" s="86">
        <f>IF(Resultats!M24="","",(Resultats!M24-Resultats!$P24)/(Resultats!$B24-Resultats!$P24))</f>
        <v>0.996581099</v>
      </c>
      <c r="M114" s="86" t="str">
        <f>IF(Resultats!N24="","",(Resultats!N24-Resultats!$P24)/(Resultats!$B24-Resultats!$P24))</f>
        <v/>
      </c>
      <c r="N114" s="86" t="str">
        <f>IF(Resultats!O24="","",(Resultats!O24-Resultats!$P24)/(Resultats!$B24-Resultats!$P24))</f>
        <v/>
      </c>
    </row>
    <row r="115">
      <c r="A115" s="64" t="s">
        <v>77</v>
      </c>
      <c r="B115" s="86">
        <f>IF(Resultats!C25="","",(Resultats!C25-Resultats!$P25)/(Resultats!$B25-Resultats!$P25))</f>
        <v>1</v>
      </c>
      <c r="C115" s="86">
        <f>IF(Resultats!D25="","",(Resultats!D25-Resultats!$P25)/(Resultats!$B25-Resultats!$P25))</f>
        <v>0</v>
      </c>
      <c r="D115" s="86">
        <f>IF(Resultats!E25="","",(Resultats!E25-Resultats!$P25)/(Resultats!$B25-Resultats!$P25))</f>
        <v>0.9960492428</v>
      </c>
      <c r="E115" s="86">
        <f>IF(Resultats!F25="","",(Resultats!F25-Resultats!$P25)/(Resultats!$B25-Resultats!$P25))</f>
        <v>0.9963185114</v>
      </c>
      <c r="F115" s="86">
        <f>IF(Resultats!G25="","",(Resultats!G25-Resultats!$P25)/(Resultats!$B25-Resultats!$P25))</f>
        <v>0.9617786864</v>
      </c>
      <c r="G115" s="86">
        <f>IF(Resultats!H25="","",(Resultats!H25-Resultats!$P25)/(Resultats!$B25-Resultats!$P25))</f>
        <v>0.9588412101</v>
      </c>
      <c r="H115" s="86">
        <f>IF(Resultats!I25="","",(Resultats!I25-Resultats!$P25)/(Resultats!$B25-Resultats!$P25))</f>
        <v>0.9356173448</v>
      </c>
      <c r="I115" s="86" t="str">
        <f>IF(Resultats!J25="","",(Resultats!J25-Resultats!$P25)/(Resultats!$B25-Resultats!$P25))</f>
        <v/>
      </c>
      <c r="J115" s="86" t="str">
        <f>IF(Resultats!K25="","",(Resultats!K25-Resultats!$P25)/(Resultats!$B25-Resultats!$P25))</f>
        <v/>
      </c>
      <c r="K115" s="86">
        <f>IF(Resultats!L25="","",(Resultats!L25-Resultats!$P25)/(Resultats!$B25-Resultats!$P25))</f>
        <v>0.552936141</v>
      </c>
      <c r="L115" s="86">
        <f>IF(Resultats!M25="","",(Resultats!M25-Resultats!$P25)/(Resultats!$B25-Resultats!$P25))</f>
        <v>0.9957792323</v>
      </c>
      <c r="M115" s="86" t="str">
        <f>IF(Resultats!N25="","",(Resultats!N25-Resultats!$P25)/(Resultats!$B25-Resultats!$P25))</f>
        <v/>
      </c>
      <c r="N115" s="86" t="str">
        <f>IF(Resultats!O25="","",(Resultats!O25-Resultats!$P25)/(Resultats!$B25-Resultats!$P25))</f>
        <v/>
      </c>
      <c r="P115" s="6" t="s">
        <v>88</v>
      </c>
      <c r="Q115" s="7"/>
    </row>
    <row r="116">
      <c r="P116" s="12" t="s">
        <v>5</v>
      </c>
      <c r="Q116" s="12" t="s">
        <v>12</v>
      </c>
    </row>
    <row r="117">
      <c r="A117" s="12" t="s">
        <v>5</v>
      </c>
      <c r="B117" s="13" t="s">
        <v>16</v>
      </c>
      <c r="C117" s="13" t="s">
        <v>17</v>
      </c>
      <c r="D117" s="13" t="s">
        <v>18</v>
      </c>
      <c r="E117" s="13" t="s">
        <v>19</v>
      </c>
      <c r="F117" s="13" t="s">
        <v>20</v>
      </c>
      <c r="G117" s="13" t="s">
        <v>21</v>
      </c>
      <c r="H117" s="13" t="s">
        <v>22</v>
      </c>
      <c r="I117" s="13" t="s">
        <v>23</v>
      </c>
      <c r="J117" s="13" t="s">
        <v>24</v>
      </c>
      <c r="K117" s="13" t="s">
        <v>25</v>
      </c>
      <c r="L117" s="13" t="s">
        <v>26</v>
      </c>
      <c r="M117" s="13" t="s">
        <v>27</v>
      </c>
      <c r="N117" s="13" t="s">
        <v>28</v>
      </c>
      <c r="P117" s="8" t="str">
        <f t="array" ref="P117:Q129">(CHOOSECOLS(SORT(TRANSPOSE(CHOOSEROWS(B117:N119,1,3,2)),2,TRUE),1,3))</f>
        <v>K</v>
      </c>
      <c r="Q117" s="81">
        <v>0.9981350856270832</v>
      </c>
    </row>
    <row r="118">
      <c r="A118" s="12" t="s">
        <v>83</v>
      </c>
      <c r="B118" s="83">
        <f t="shared" ref="B118:N118" si="10">AVERAGEA(B107:B115)</f>
        <v>0.9946110152</v>
      </c>
      <c r="C118" s="83">
        <f t="shared" si="10"/>
        <v>0.1681118461</v>
      </c>
      <c r="D118" s="83">
        <f t="shared" si="10"/>
        <v>0.9952686887</v>
      </c>
      <c r="E118" s="83">
        <f t="shared" si="10"/>
        <v>0.992480786</v>
      </c>
      <c r="F118" s="83">
        <f t="shared" si="10"/>
        <v>0.9757201026</v>
      </c>
      <c r="G118" s="83">
        <f t="shared" si="10"/>
        <v>0.9535967362</v>
      </c>
      <c r="H118" s="83">
        <f t="shared" si="10"/>
        <v>0.9135933725</v>
      </c>
      <c r="I118" s="83">
        <f t="shared" si="10"/>
        <v>0</v>
      </c>
      <c r="J118" s="83">
        <f t="shared" si="10"/>
        <v>0</v>
      </c>
      <c r="K118" s="83">
        <f t="shared" si="10"/>
        <v>0.5331531788</v>
      </c>
      <c r="L118" s="83">
        <f t="shared" si="10"/>
        <v>0.9981350856</v>
      </c>
      <c r="M118" s="83">
        <f t="shared" si="10"/>
        <v>0</v>
      </c>
      <c r="N118" s="83">
        <f t="shared" si="10"/>
        <v>0</v>
      </c>
      <c r="P118" s="8" t="s">
        <v>18</v>
      </c>
      <c r="Q118" s="81">
        <v>0.9952686887433795</v>
      </c>
    </row>
    <row r="119">
      <c r="A119" s="12" t="s">
        <v>84</v>
      </c>
      <c r="B119" s="30">
        <f t="shared" ref="B119:N119" si="11">IF(B118=0, $N$4, RANK(B118,$B118:$N118,0))</f>
        <v>3</v>
      </c>
      <c r="C119" s="30">
        <f t="shared" si="11"/>
        <v>9</v>
      </c>
      <c r="D119" s="30">
        <f t="shared" si="11"/>
        <v>2</v>
      </c>
      <c r="E119" s="30">
        <f t="shared" si="11"/>
        <v>4</v>
      </c>
      <c r="F119" s="30">
        <f t="shared" si="11"/>
        <v>5</v>
      </c>
      <c r="G119" s="30">
        <f t="shared" si="11"/>
        <v>6</v>
      </c>
      <c r="H119" s="30">
        <f t="shared" si="11"/>
        <v>7</v>
      </c>
      <c r="I119" s="30">
        <f t="shared" si="11"/>
        <v>13</v>
      </c>
      <c r="J119" s="30">
        <f t="shared" si="11"/>
        <v>13</v>
      </c>
      <c r="K119" s="30">
        <f t="shared" si="11"/>
        <v>8</v>
      </c>
      <c r="L119" s="30">
        <f t="shared" si="11"/>
        <v>1</v>
      </c>
      <c r="M119" s="30">
        <f t="shared" si="11"/>
        <v>13</v>
      </c>
      <c r="N119" s="30">
        <f t="shared" si="11"/>
        <v>13</v>
      </c>
      <c r="P119" s="8" t="s">
        <v>16</v>
      </c>
      <c r="Q119" s="81">
        <v>0.9946110151513123</v>
      </c>
    </row>
    <row r="120">
      <c r="P120" s="8" t="s">
        <v>19</v>
      </c>
      <c r="Q120" s="81">
        <v>0.9924807860321503</v>
      </c>
    </row>
    <row r="121">
      <c r="P121" s="8" t="s">
        <v>20</v>
      </c>
      <c r="Q121" s="81">
        <v>0.9757201026411393</v>
      </c>
    </row>
    <row r="122">
      <c r="P122" s="8" t="s">
        <v>21</v>
      </c>
      <c r="Q122" s="81">
        <v>0.9535967361866873</v>
      </c>
    </row>
    <row r="123">
      <c r="P123" s="8" t="s">
        <v>22</v>
      </c>
      <c r="Q123" s="81">
        <v>0.9135933725113105</v>
      </c>
    </row>
    <row r="124">
      <c r="P124" s="8" t="s">
        <v>25</v>
      </c>
      <c r="Q124" s="81">
        <v>0.5331531787962169</v>
      </c>
    </row>
    <row r="125">
      <c r="P125" s="8" t="s">
        <v>17</v>
      </c>
      <c r="Q125" s="81">
        <v>0.16811184607388985</v>
      </c>
    </row>
    <row r="126">
      <c r="P126" s="8" t="s">
        <v>23</v>
      </c>
      <c r="Q126" s="81">
        <v>0.0</v>
      </c>
    </row>
    <row r="127">
      <c r="P127" s="8" t="s">
        <v>24</v>
      </c>
      <c r="Q127" s="81">
        <v>0.0</v>
      </c>
    </row>
    <row r="128">
      <c r="P128" s="8" t="s">
        <v>27</v>
      </c>
      <c r="Q128" s="81">
        <v>0.0</v>
      </c>
    </row>
    <row r="129">
      <c r="P129" s="30" t="s">
        <v>28</v>
      </c>
      <c r="Q129" s="53">
        <v>0.0</v>
      </c>
    </row>
  </sheetData>
  <mergeCells count="8">
    <mergeCell ref="A1:N2"/>
    <mergeCell ref="P1:Q1"/>
    <mergeCell ref="S1:V2"/>
    <mergeCell ref="A3:D4"/>
    <mergeCell ref="A10:D11"/>
    <mergeCell ref="AH29:AI29"/>
    <mergeCell ref="P38:Q38"/>
    <mergeCell ref="P115:Q1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</row>
    <row r="2">
      <c r="N2" s="9">
        <f>COUNTA(B3:N3)</f>
        <v>13</v>
      </c>
    </row>
    <row r="3">
      <c r="A3" s="12" t="s">
        <v>5</v>
      </c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  <c r="K3" s="13" t="s">
        <v>25</v>
      </c>
      <c r="L3" s="13" t="s">
        <v>26</v>
      </c>
      <c r="M3" s="13" t="s">
        <v>27</v>
      </c>
      <c r="N3" s="13" t="s">
        <v>28</v>
      </c>
    </row>
    <row r="4">
      <c r="A4" s="15" t="str">
        <f>Resultats!A4</f>
        <v>kittens</v>
      </c>
      <c r="B4" s="20">
        <f>IF(Resultats!C4=0, $N$2, RANK(Resultats!C4,Resultats!$C4:$O4,0))</f>
        <v>2</v>
      </c>
      <c r="C4" s="20">
        <f>IF(Resultats!D4=0, $N$2, RANK(Resultats!D4,Resultats!$C4:$O4,0))</f>
        <v>8</v>
      </c>
      <c r="D4" s="20">
        <f>IF(Resultats!E4=0, $N$2, RANK(Resultats!E4,Resultats!$C4:$O4,0))</f>
        <v>4</v>
      </c>
      <c r="E4" s="20">
        <f>IF(Resultats!F4=0, $N$2, RANK(Resultats!F4,Resultats!$C4:$O4,0))</f>
        <v>3</v>
      </c>
      <c r="F4" s="20">
        <f>IF(Resultats!G4=0, $N$2, RANK(Resultats!G4,Resultats!$C4:$O4,0))</f>
        <v>5</v>
      </c>
      <c r="G4" s="20">
        <f>IF(Resultats!H4=0, $N$2, RANK(Resultats!H4,Resultats!$C4:$O4,0))</f>
        <v>6</v>
      </c>
      <c r="H4" s="20">
        <f>IF(Resultats!I4=0, $N$2, RANK(Resultats!I4,Resultats!$C4:$O4,0))</f>
        <v>7</v>
      </c>
      <c r="I4" s="20">
        <f>IF(Resultats!J4=0, $N$2, RANK(Resultats!J4,Resultats!$C4:$O4,0))</f>
        <v>13</v>
      </c>
      <c r="J4" s="20">
        <f>IF(Resultats!K4=0, $N$2, RANK(Resultats!K4,Resultats!$C4:$O4,0))</f>
        <v>13</v>
      </c>
      <c r="K4" s="20">
        <f>IF(Resultats!L4=0, $N$2, RANK(Resultats!L4,Resultats!$C4:$O4,0))</f>
        <v>9</v>
      </c>
      <c r="L4" s="20">
        <f>IF(Resultats!M4=0, $N$2, RANK(Resultats!M4,Resultats!$C4:$O4,0))</f>
        <v>1</v>
      </c>
      <c r="M4" s="20">
        <f>IF(Resultats!N4=0, $N$2, RANK(Resultats!N4,Resultats!$C4:$O4,0))</f>
        <v>13</v>
      </c>
      <c r="N4" s="20">
        <f>IF(Resultats!O4=0, $N$2, RANK(Resultats!O4,Resultats!$C4:$O4,0))</f>
        <v>13</v>
      </c>
    </row>
    <row r="5">
      <c r="A5" s="15" t="str">
        <f>Resultats!A5</f>
        <v>me_at_the_zoo</v>
      </c>
      <c r="B5" s="20">
        <f>IF(Resultats!C5=0, $N$2, RANK(Resultats!C5,Resultats!$C5:$O5,0))</f>
        <v>3</v>
      </c>
      <c r="C5" s="20">
        <f>IF(Resultats!D5=0, $N$2, RANK(Resultats!D5,Resultats!$C5:$O5,0))</f>
        <v>9</v>
      </c>
      <c r="D5" s="20">
        <f>IF(Resultats!E5=0, $N$2, RANK(Resultats!E5,Resultats!$C5:$O5,0))</f>
        <v>2</v>
      </c>
      <c r="E5" s="20">
        <f>IF(Resultats!F5=0, $N$2, RANK(Resultats!F5,Resultats!$C5:$O5,0))</f>
        <v>3</v>
      </c>
      <c r="F5" s="20">
        <f>IF(Resultats!G5=0, $N$2, RANK(Resultats!G5,Resultats!$C5:$O5,0))</f>
        <v>5</v>
      </c>
      <c r="G5" s="20">
        <f>IF(Resultats!H5=0, $N$2, RANK(Resultats!H5,Resultats!$C5:$O5,0))</f>
        <v>6</v>
      </c>
      <c r="H5" s="20">
        <f>IF(Resultats!I5=0, $N$2, RANK(Resultats!I5,Resultats!$C5:$O5,0))</f>
        <v>7</v>
      </c>
      <c r="I5" s="20">
        <f>IF(Resultats!J5=0, $N$2, RANK(Resultats!J5,Resultats!$C5:$O5,0))</f>
        <v>13</v>
      </c>
      <c r="J5" s="20">
        <f>IF(Resultats!K5=0, $N$2, RANK(Resultats!K5,Resultats!$C5:$O5,0))</f>
        <v>13</v>
      </c>
      <c r="K5" s="20">
        <f>IF(Resultats!L5=0, $N$2, RANK(Resultats!L5,Resultats!$C5:$O5,0))</f>
        <v>8</v>
      </c>
      <c r="L5" s="20">
        <f>IF(Resultats!M5=0, $N$2, RANK(Resultats!M5,Resultats!$C5:$O5,0))</f>
        <v>1</v>
      </c>
      <c r="M5" s="20">
        <f>IF(Resultats!N5=0, $N$2, RANK(Resultats!N5,Resultats!$C5:$O5,0))</f>
        <v>13</v>
      </c>
      <c r="N5" s="20">
        <f>IF(Resultats!O5=0, $N$2, RANK(Resultats!O5,Resultats!$C5:$O5,0))</f>
        <v>13</v>
      </c>
    </row>
    <row r="6">
      <c r="A6" s="15" t="str">
        <f>Resultats!A6</f>
        <v>trending_today</v>
      </c>
      <c r="B6" s="20">
        <f>IF(Resultats!C6=0, $N$2, RANK(Resultats!C6,Resultats!$C6:$O6,0))</f>
        <v>4</v>
      </c>
      <c r="C6" s="20">
        <f>IF(Resultats!D6=0, $N$2, RANK(Resultats!D6,Resultats!$C6:$O6,0))</f>
        <v>9</v>
      </c>
      <c r="D6" s="20">
        <f>IF(Resultats!E6=0, $N$2, RANK(Resultats!E6,Resultats!$C6:$O6,0))</f>
        <v>4</v>
      </c>
      <c r="E6" s="20">
        <f>IF(Resultats!F6=0, $N$2, RANK(Resultats!F6,Resultats!$C6:$O6,0))</f>
        <v>4</v>
      </c>
      <c r="F6" s="20">
        <f>IF(Resultats!G6=0, $N$2, RANK(Resultats!G6,Resultats!$C6:$O6,0))</f>
        <v>3</v>
      </c>
      <c r="G6" s="20">
        <f>IF(Resultats!H6=0, $N$2, RANK(Resultats!H6,Resultats!$C6:$O6,0))</f>
        <v>4</v>
      </c>
      <c r="H6" s="20">
        <f>IF(Resultats!I6=0, $N$2, RANK(Resultats!I6,Resultats!$C6:$O6,0))</f>
        <v>2</v>
      </c>
      <c r="I6" s="20">
        <f>IF(Resultats!J6=0, $N$2, RANK(Resultats!J6,Resultats!$C6:$O6,0))</f>
        <v>13</v>
      </c>
      <c r="J6" s="20">
        <f>IF(Resultats!K6=0, $N$2, RANK(Resultats!K6,Resultats!$C6:$O6,0))</f>
        <v>13</v>
      </c>
      <c r="K6" s="20">
        <f>IF(Resultats!L6=0, $N$2, RANK(Resultats!L6,Resultats!$C6:$O6,0))</f>
        <v>8</v>
      </c>
      <c r="L6" s="20">
        <f>IF(Resultats!M6=0, $N$2, RANK(Resultats!M6,Resultats!$C6:$O6,0))</f>
        <v>1</v>
      </c>
      <c r="M6" s="20">
        <f>IF(Resultats!N6=0, $N$2, RANK(Resultats!N6,Resultats!$C6:$O6,0))</f>
        <v>13</v>
      </c>
      <c r="N6" s="20">
        <f>IF(Resultats!O6=0, $N$2, RANK(Resultats!O6,Resultats!$C6:$O6,0))</f>
        <v>13</v>
      </c>
    </row>
    <row r="7">
      <c r="A7" s="15" t="str">
        <f>Resultats!A7</f>
        <v>videos_worth_spreading</v>
      </c>
      <c r="B7" s="20">
        <f>IF(Resultats!C7=0, $N$2, RANK(Resultats!C7,Resultats!$C7:$O7,0))</f>
        <v>2</v>
      </c>
      <c r="C7" s="20">
        <f>IF(Resultats!D7=0, $N$2, RANK(Resultats!D7,Resultats!$C7:$O7,0))</f>
        <v>9</v>
      </c>
      <c r="D7" s="20">
        <f>IF(Resultats!E7=0, $N$2, RANK(Resultats!E7,Resultats!$C7:$O7,0))</f>
        <v>3</v>
      </c>
      <c r="E7" s="20">
        <f>IF(Resultats!F7=0, $N$2, RANK(Resultats!F7,Resultats!$C7:$O7,0))</f>
        <v>4</v>
      </c>
      <c r="F7" s="20">
        <f>IF(Resultats!G7=0, $N$2, RANK(Resultats!G7,Resultats!$C7:$O7,0))</f>
        <v>5</v>
      </c>
      <c r="G7" s="20">
        <f>IF(Resultats!H7=0, $N$2, RANK(Resultats!H7,Resultats!$C7:$O7,0))</f>
        <v>6</v>
      </c>
      <c r="H7" s="20">
        <f>IF(Resultats!I7=0, $N$2, RANK(Resultats!I7,Resultats!$C7:$O7,0))</f>
        <v>7</v>
      </c>
      <c r="I7" s="20">
        <f>IF(Resultats!J7=0, $N$2, RANK(Resultats!J7,Resultats!$C7:$O7,0))</f>
        <v>13</v>
      </c>
      <c r="J7" s="20">
        <f>IF(Resultats!K7=0, $N$2, RANK(Resultats!K7,Resultats!$C7:$O7,0))</f>
        <v>13</v>
      </c>
      <c r="K7" s="20">
        <f>IF(Resultats!L7=0, $N$2, RANK(Resultats!L7,Resultats!$C7:$O7,0))</f>
        <v>8</v>
      </c>
      <c r="L7" s="20">
        <f>IF(Resultats!M7=0, $N$2, RANK(Resultats!M7,Resultats!$C7:$O7,0))</f>
        <v>1</v>
      </c>
      <c r="M7" s="20">
        <f>IF(Resultats!N7=0, $N$2, RANK(Resultats!N7,Resultats!$C7:$O7,0))</f>
        <v>13</v>
      </c>
      <c r="N7" s="20">
        <f>IF(Resultats!O7=0, $N$2, RANK(Resultats!O7,Resultats!$C7:$O7,0))</f>
        <v>13</v>
      </c>
    </row>
    <row r="8">
      <c r="A8" s="64" t="str">
        <f>Resultats!A21</f>
        <v>custom_dejavu42</v>
      </c>
      <c r="B8" s="20">
        <f>IF(Resultats!C21=0, $N$2, RANK(Resultats!C21,Resultats!$C21:$O21,0))</f>
        <v>1</v>
      </c>
      <c r="C8" s="20">
        <f>IF(Resultats!D21=0, $N$2, RANK(Resultats!D21,Resultats!$C21:$O21,0))</f>
        <v>9</v>
      </c>
      <c r="D8" s="20">
        <f>IF(Resultats!E21=0, $N$2, RANK(Resultats!E21,Resultats!$C21:$O21,0))</f>
        <v>2</v>
      </c>
      <c r="E8" s="20">
        <f>IF(Resultats!F21=0, $N$2, RANK(Resultats!F21,Resultats!$C21:$O21,0))</f>
        <v>3</v>
      </c>
      <c r="F8" s="20">
        <f>IF(Resultats!G21=0, $N$2, RANK(Resultats!G21,Resultats!$C21:$O21,0))</f>
        <v>5</v>
      </c>
      <c r="G8" s="20">
        <f>IF(Resultats!H21=0, $N$2, RANK(Resultats!H21,Resultats!$C21:$O21,0))</f>
        <v>6</v>
      </c>
      <c r="H8" s="20">
        <f>IF(Resultats!I21=0, $N$2, RANK(Resultats!I21,Resultats!$C21:$O21,0))</f>
        <v>7</v>
      </c>
      <c r="I8" s="20">
        <f>IF(Resultats!J21=0, $N$2, RANK(Resultats!J21,Resultats!$C21:$O21,0))</f>
        <v>13</v>
      </c>
      <c r="J8" s="20">
        <f>IF(Resultats!K21=0, $N$2, RANK(Resultats!K21,Resultats!$C21:$O21,0))</f>
        <v>13</v>
      </c>
      <c r="K8" s="20">
        <f>IF(Resultats!L21=0, $N$2, RANK(Resultats!L21,Resultats!$C21:$O21,0))</f>
        <v>8</v>
      </c>
      <c r="L8" s="20">
        <f>IF(Resultats!M21=0, $N$2, RANK(Resultats!M21,Resultats!$C21:$O21,0))</f>
        <v>4</v>
      </c>
      <c r="M8" s="20">
        <f>IF(Resultats!N21=0, $N$2, RANK(Resultats!N21,Resultats!$C21:$O21,0))</f>
        <v>13</v>
      </c>
      <c r="N8" s="20">
        <f>IF(Resultats!O21=0, $N$2, RANK(Resultats!O21,Resultats!$C21:$O21,0))</f>
        <v>13</v>
      </c>
    </row>
    <row r="9">
      <c r="A9" s="64" t="str">
        <f>Resultats!A22</f>
        <v>custom_universallambda42</v>
      </c>
      <c r="B9" s="20">
        <f>IF(Resultats!C22=0, $N$2, RANK(Resultats!C22,Resultats!$C22:$O22,0))</f>
        <v>1</v>
      </c>
      <c r="C9" s="20">
        <f>IF(Resultats!D22=0, $N$2, RANK(Resultats!D22,Resultats!$C22:$O22,0))</f>
        <v>9</v>
      </c>
      <c r="D9" s="20">
        <f>IF(Resultats!E22=0, $N$2, RANK(Resultats!E22,Resultats!$C22:$O22,0))</f>
        <v>3</v>
      </c>
      <c r="E9" s="20">
        <f>IF(Resultats!F22=0, $N$2, RANK(Resultats!F22,Resultats!$C22:$O22,0))</f>
        <v>5</v>
      </c>
      <c r="F9" s="20">
        <f>IF(Resultats!G22=0, $N$2, RANK(Resultats!G22,Resultats!$C22:$O22,0))</f>
        <v>2</v>
      </c>
      <c r="G9" s="20">
        <f>IF(Resultats!H22=0, $N$2, RANK(Resultats!H22,Resultats!$C22:$O22,0))</f>
        <v>4</v>
      </c>
      <c r="H9" s="20">
        <f>IF(Resultats!I22=0, $N$2, RANK(Resultats!I22,Resultats!$C22:$O22,0))</f>
        <v>7</v>
      </c>
      <c r="I9" s="20">
        <f>IF(Resultats!J22=0, $N$2, RANK(Resultats!J22,Resultats!$C22:$O22,0))</f>
        <v>13</v>
      </c>
      <c r="J9" s="20">
        <f>IF(Resultats!K22=0, $N$2, RANK(Resultats!K22,Resultats!$C22:$O22,0))</f>
        <v>13</v>
      </c>
      <c r="K9" s="20">
        <f>IF(Resultats!L22=0, $N$2, RANK(Resultats!L22,Resultats!$C22:$O22,0))</f>
        <v>8</v>
      </c>
      <c r="L9" s="20">
        <f>IF(Resultats!M22=0, $N$2, RANK(Resultats!M22,Resultats!$C22:$O22,0))</f>
        <v>6</v>
      </c>
      <c r="M9" s="20">
        <f>IF(Resultats!N22=0, $N$2, RANK(Resultats!N22,Resultats!$C22:$O22,0))</f>
        <v>13</v>
      </c>
      <c r="N9" s="20">
        <f>IF(Resultats!O22=0, $N$2, RANK(Resultats!O22,Resultats!$C22:$O22,0))</f>
        <v>13</v>
      </c>
    </row>
    <row r="10">
      <c r="A10" s="64" t="str">
        <f>Resultats!A23</f>
        <v>custom_universallambda42_asymmetric</v>
      </c>
      <c r="B10" s="20">
        <f>IF(Resultats!C23=0, $N$2, RANK(Resultats!C23,Resultats!$C23:$O23,0))</f>
        <v>1</v>
      </c>
      <c r="C10" s="20">
        <f>IF(Resultats!D23=0, $N$2, RANK(Resultats!D23,Resultats!$C23:$O23,0))</f>
        <v>8</v>
      </c>
      <c r="D10" s="20">
        <f>IF(Resultats!E23=0, $N$2, RANK(Resultats!E23,Resultats!$C23:$O23,0))</f>
        <v>2</v>
      </c>
      <c r="E10" s="20">
        <f>IF(Resultats!F23=0, $N$2, RANK(Resultats!F23,Resultats!$C23:$O23,0))</f>
        <v>3</v>
      </c>
      <c r="F10" s="20">
        <f>IF(Resultats!G23=0, $N$2, RANK(Resultats!G23,Resultats!$C23:$O23,0))</f>
        <v>6</v>
      </c>
      <c r="G10" s="20">
        <f>IF(Resultats!H23=0, $N$2, RANK(Resultats!H23,Resultats!$C23:$O23,0))</f>
        <v>7</v>
      </c>
      <c r="H10" s="20">
        <f>IF(Resultats!I23=0, $N$2, RANK(Resultats!I23,Resultats!$C23:$O23,0))</f>
        <v>5</v>
      </c>
      <c r="I10" s="20">
        <f>IF(Resultats!J23=0, $N$2, RANK(Resultats!J23,Resultats!$C23:$O23,0))</f>
        <v>13</v>
      </c>
      <c r="J10" s="20">
        <f>IF(Resultats!K23=0, $N$2, RANK(Resultats!K23,Resultats!$C23:$O23,0))</f>
        <v>13</v>
      </c>
      <c r="K10" s="20">
        <f>IF(Resultats!L23=0, $N$2, RANK(Resultats!L23,Resultats!$C23:$O23,0))</f>
        <v>9</v>
      </c>
      <c r="L10" s="20">
        <f>IF(Resultats!M23=0, $N$2, RANK(Resultats!M23,Resultats!$C23:$O23,0))</f>
        <v>3</v>
      </c>
      <c r="M10" s="20">
        <f>IF(Resultats!N23=0, $N$2, RANK(Resultats!N23,Resultats!$C23:$O23,0))</f>
        <v>13</v>
      </c>
      <c r="N10" s="20">
        <f>IF(Resultats!O23=0, $N$2, RANK(Resultats!O23,Resultats!$C23:$O23,0))</f>
        <v>13</v>
      </c>
    </row>
    <row r="11">
      <c r="A11" s="64" t="str">
        <f>Resultats!A24</f>
        <v>instance1 (corrigée)</v>
      </c>
      <c r="B11" s="20">
        <f>IF(Resultats!C24=0, $N$2, RANK(Resultats!C24,Resultats!$C24:$O24,0))</f>
        <v>1</v>
      </c>
      <c r="C11" s="20">
        <f>IF(Resultats!D24=0, $N$2, RANK(Resultats!D24,Resultats!$C24:$O24,0))</f>
        <v>8</v>
      </c>
      <c r="D11" s="20">
        <f>IF(Resultats!E24=0, $N$2, RANK(Resultats!E24,Resultats!$C24:$O24,0))</f>
        <v>4</v>
      </c>
      <c r="E11" s="20">
        <f>IF(Resultats!F24=0, $N$2, RANK(Resultats!F24,Resultats!$C24:$O24,0))</f>
        <v>2</v>
      </c>
      <c r="F11" s="20">
        <f>IF(Resultats!G24=0, $N$2, RANK(Resultats!G24,Resultats!$C24:$O24,0))</f>
        <v>2</v>
      </c>
      <c r="G11" s="20">
        <f>IF(Resultats!H24=0, $N$2, RANK(Resultats!H24,Resultats!$C24:$O24,0))</f>
        <v>6</v>
      </c>
      <c r="H11" s="20">
        <f>IF(Resultats!I24=0, $N$2, RANK(Resultats!I24,Resultats!$C24:$O24,0))</f>
        <v>7</v>
      </c>
      <c r="I11" s="20">
        <f>IF(Resultats!J24=0, $N$2, RANK(Resultats!J24,Resultats!$C24:$O24,0))</f>
        <v>13</v>
      </c>
      <c r="J11" s="20">
        <f>IF(Resultats!K24=0, $N$2, RANK(Resultats!K24,Resultats!$C24:$O24,0))</f>
        <v>13</v>
      </c>
      <c r="K11" s="20">
        <f>IF(Resultats!L24=0, $N$2, RANK(Resultats!L24,Resultats!$C24:$O24,0))</f>
        <v>9</v>
      </c>
      <c r="L11" s="20">
        <f>IF(Resultats!M24=0, $N$2, RANK(Resultats!M24,Resultats!$C24:$O24,0))</f>
        <v>5</v>
      </c>
      <c r="M11" s="20">
        <f>IF(Resultats!N24=0, $N$2, RANK(Resultats!N24,Resultats!$C24:$O24,0))</f>
        <v>13</v>
      </c>
      <c r="N11" s="20">
        <f>IF(Resultats!O24=0, $N$2, RANK(Resultats!O24,Resultats!$C24:$O24,0))</f>
        <v>13</v>
      </c>
    </row>
    <row r="12">
      <c r="A12" s="64" t="str">
        <f>Resultats!A25</f>
        <v>instance2 (corrigée)</v>
      </c>
      <c r="B12" s="20">
        <f>IF(Resultats!C25=0, $N$2, RANK(Resultats!C25,Resultats!$C25:$O25,0))</f>
        <v>1</v>
      </c>
      <c r="C12" s="20">
        <f>IF(Resultats!D25=0, $N$2, RANK(Resultats!D25,Resultats!$C25:$O25,0))</f>
        <v>9</v>
      </c>
      <c r="D12" s="20">
        <f>IF(Resultats!E25=0, $N$2, RANK(Resultats!E25,Resultats!$C25:$O25,0))</f>
        <v>3</v>
      </c>
      <c r="E12" s="20">
        <f>IF(Resultats!F25=0, $N$2, RANK(Resultats!F25,Resultats!$C25:$O25,0))</f>
        <v>2</v>
      </c>
      <c r="F12" s="20">
        <f>IF(Resultats!G25=0, $N$2, RANK(Resultats!G25,Resultats!$C25:$O25,0))</f>
        <v>5</v>
      </c>
      <c r="G12" s="20">
        <f>IF(Resultats!H25=0, $N$2, RANK(Resultats!H25,Resultats!$C25:$O25,0))</f>
        <v>6</v>
      </c>
      <c r="H12" s="20">
        <f>IF(Resultats!I25=0, $N$2, RANK(Resultats!I25,Resultats!$C25:$O25,0))</f>
        <v>7</v>
      </c>
      <c r="I12" s="20">
        <f>IF(Resultats!J25=0, $N$2, RANK(Resultats!J25,Resultats!$C25:$O25,0))</f>
        <v>13</v>
      </c>
      <c r="J12" s="20">
        <f>IF(Resultats!K25=0, $N$2, RANK(Resultats!K25,Resultats!$C25:$O25,0))</f>
        <v>13</v>
      </c>
      <c r="K12" s="20">
        <f>IF(Resultats!L25=0, $N$2, RANK(Resultats!L25,Resultats!$C25:$O25,0))</f>
        <v>8</v>
      </c>
      <c r="L12" s="20">
        <f>IF(Resultats!M25=0, $N$2, RANK(Resultats!M25,Resultats!$C25:$O25,0))</f>
        <v>4</v>
      </c>
      <c r="M12" s="20">
        <f>IF(Resultats!N25=0, $N$2, RANK(Resultats!N25,Resultats!$C25:$O25,0))</f>
        <v>13</v>
      </c>
      <c r="N12" s="20">
        <f>IF(Resultats!O25=0, $N$2, RANK(Resultats!O25,Resultats!$C25:$O25,0))</f>
        <v>13</v>
      </c>
    </row>
    <row r="13">
      <c r="A13" s="78" t="str">
        <f>Resultats!A26</f>
        <v>4990_246_84901_50.in</v>
      </c>
      <c r="B13" s="20">
        <f>IF(Resultats!C26=0, $N$2, RANK(Resultats!C26,Resultats!$C26:$O26,0))</f>
        <v>2</v>
      </c>
      <c r="C13" s="20">
        <f>IF(Resultats!D26=0, $N$2, RANK(Resultats!D26,Resultats!$C26:$O26,0))</f>
        <v>13</v>
      </c>
      <c r="D13" s="20">
        <f>IF(Resultats!E26=0, $N$2, RANK(Resultats!E26,Resultats!$C26:$O26,0))</f>
        <v>1</v>
      </c>
      <c r="E13" s="20">
        <f>IF(Resultats!F26=0, $N$2, RANK(Resultats!F26,Resultats!$C26:$O26,0))</f>
        <v>13</v>
      </c>
      <c r="F13" s="20">
        <f>IF(Resultats!G26=0, $N$2, RANK(Resultats!G26,Resultats!$C26:$O26,0))</f>
        <v>3</v>
      </c>
      <c r="G13" s="20">
        <f>IF(Resultats!H26=0, $N$2, RANK(Resultats!H26,Resultats!$C26:$O26,0))</f>
        <v>4</v>
      </c>
      <c r="H13" s="20">
        <f>IF(Resultats!I26=0, $N$2, RANK(Resultats!I26,Resultats!$C26:$O26,0))</f>
        <v>5</v>
      </c>
      <c r="I13" s="20">
        <f>IF(Resultats!J26=0, $N$2, RANK(Resultats!J26,Resultats!$C26:$O26,0))</f>
        <v>13</v>
      </c>
      <c r="J13" s="20">
        <f>IF(Resultats!K26=0, $N$2, RANK(Resultats!K26,Resultats!$C26:$O26,0))</f>
        <v>13</v>
      </c>
      <c r="K13" s="20">
        <f>IF(Resultats!L26=0, $N$2, RANK(Resultats!L26,Resultats!$C26:$O26,0))</f>
        <v>6</v>
      </c>
      <c r="L13" s="20">
        <f>IF(Resultats!M26=0, $N$2, RANK(Resultats!M26,Resultats!$C26:$O26,0))</f>
        <v>13</v>
      </c>
      <c r="M13" s="20">
        <f>IF(Resultats!N26=0, $N$2, RANK(Resultats!N26,Resultats!$C26:$O26,0))</f>
        <v>13</v>
      </c>
      <c r="N13" s="20">
        <f>IF(Resultats!O26=0, $N$2, RANK(Resultats!O26,Resultats!$C26:$O26,0))</f>
        <v>13</v>
      </c>
    </row>
    <row r="14">
      <c r="A14" s="78" t="str">
        <f>Resultats!A27</f>
        <v>6970_311_100000_69.in</v>
      </c>
      <c r="B14" s="20">
        <f>IF(Resultats!C27=0, $N$2, RANK(Resultats!C27,Resultats!$C27:$O27,0))</f>
        <v>2</v>
      </c>
      <c r="C14" s="20">
        <f>IF(Resultats!D27=0, $N$2, RANK(Resultats!D27,Resultats!$C27:$O27,0))</f>
        <v>13</v>
      </c>
      <c r="D14" s="20">
        <f>IF(Resultats!E27=0, $N$2, RANK(Resultats!E27,Resultats!$C27:$O27,0))</f>
        <v>1</v>
      </c>
      <c r="E14" s="20">
        <f>IF(Resultats!F27=0, $N$2, RANK(Resultats!F27,Resultats!$C27:$O27,0))</f>
        <v>13</v>
      </c>
      <c r="F14" s="20">
        <f>IF(Resultats!G27=0, $N$2, RANK(Resultats!G27,Resultats!$C27:$O27,0))</f>
        <v>3</v>
      </c>
      <c r="G14" s="20">
        <f>IF(Resultats!H27=0, $N$2, RANK(Resultats!H27,Resultats!$C27:$O27,0))</f>
        <v>4</v>
      </c>
      <c r="H14" s="20">
        <f>IF(Resultats!I27=0, $N$2, RANK(Resultats!I27,Resultats!$C27:$O27,0))</f>
        <v>5</v>
      </c>
      <c r="I14" s="20">
        <f>IF(Resultats!J27=0, $N$2, RANK(Resultats!J27,Resultats!$C27:$O27,0))</f>
        <v>13</v>
      </c>
      <c r="J14" s="20">
        <f>IF(Resultats!K27=0, $N$2, RANK(Resultats!K27,Resultats!$C27:$O27,0))</f>
        <v>13</v>
      </c>
      <c r="K14" s="20">
        <f>IF(Resultats!L27=0, $N$2, RANK(Resultats!L27,Resultats!$C27:$O27,0))</f>
        <v>6</v>
      </c>
      <c r="L14" s="20">
        <f>IF(Resultats!M27=0, $N$2, RANK(Resultats!M27,Resultats!$C27:$O27,0))</f>
        <v>13</v>
      </c>
      <c r="M14" s="20">
        <f>IF(Resultats!N27=0, $N$2, RANK(Resultats!N27,Resultats!$C27:$O27,0))</f>
        <v>13</v>
      </c>
      <c r="N14" s="20">
        <f>IF(Resultats!O27=0, $N$2, RANK(Resultats!O27,Resultats!$C27:$O27,0))</f>
        <v>13</v>
      </c>
    </row>
    <row r="15">
      <c r="A15" s="78" t="str">
        <f>Resultats!A28</f>
        <v>10000_500_100000_100.in</v>
      </c>
      <c r="B15" s="20">
        <f>IF(Resultats!C28=0, $N$2, RANK(Resultats!C28,Resultats!$C28:$O28,0))</f>
        <v>3</v>
      </c>
      <c r="C15" s="20">
        <f>IF(Resultats!D28=0, $N$2, RANK(Resultats!D28,Resultats!$C28:$O28,0))</f>
        <v>13</v>
      </c>
      <c r="D15" s="20">
        <f>IF(Resultats!E28=0, $N$2, RANK(Resultats!E28,Resultats!$C28:$O28,0))</f>
        <v>2</v>
      </c>
      <c r="E15" s="20">
        <f>IF(Resultats!F28=0, $N$2, RANK(Resultats!F28,Resultats!$C28:$O28,0))</f>
        <v>13</v>
      </c>
      <c r="F15" s="20">
        <f>IF(Resultats!G28=0, $N$2, RANK(Resultats!G28,Resultats!$C28:$O28,0))</f>
        <v>1</v>
      </c>
      <c r="G15" s="20">
        <f>IF(Resultats!H28=0, $N$2, RANK(Resultats!H28,Resultats!$C28:$O28,0))</f>
        <v>4</v>
      </c>
      <c r="H15" s="20">
        <f>IF(Resultats!I28=0, $N$2, RANK(Resultats!I28,Resultats!$C28:$O28,0))</f>
        <v>5</v>
      </c>
      <c r="I15" s="20">
        <f>IF(Resultats!J28=0, $N$2, RANK(Resultats!J28,Resultats!$C28:$O28,0))</f>
        <v>13</v>
      </c>
      <c r="J15" s="20">
        <f>IF(Resultats!K28=0, $N$2, RANK(Resultats!K28,Resultats!$C28:$O28,0))</f>
        <v>13</v>
      </c>
      <c r="K15" s="20">
        <f>IF(Resultats!L28=0, $N$2, RANK(Resultats!L28,Resultats!$C28:$O28,0))</f>
        <v>6</v>
      </c>
      <c r="L15" s="20">
        <f>IF(Resultats!M28=0, $N$2, RANK(Resultats!M28,Resultats!$C28:$O28,0))</f>
        <v>13</v>
      </c>
      <c r="M15" s="20">
        <f>IF(Resultats!N28=0, $N$2, RANK(Resultats!N28,Resultats!$C28:$O28,0))</f>
        <v>13</v>
      </c>
      <c r="N15" s="20">
        <f>IF(Resultats!O28=0, $N$2, RANK(Resultats!O28,Resultats!$C28:$O28,0))</f>
        <v>13</v>
      </c>
    </row>
    <row r="16">
      <c r="A16" s="78" t="str">
        <f>Resultats!A29</f>
        <v>3860_246_84901_66.in</v>
      </c>
      <c r="B16" s="20">
        <f>IF(Resultats!C29=0, $N$2, RANK(Resultats!C29,Resultats!$C29:$O29,0))</f>
        <v>3</v>
      </c>
      <c r="C16" s="20">
        <f>IF(Resultats!D29=0, $N$2, RANK(Resultats!D29,Resultats!$C29:$O29,0))</f>
        <v>13</v>
      </c>
      <c r="D16" s="20">
        <f>IF(Resultats!E29=0, $N$2, RANK(Resultats!E29,Resultats!$C29:$O29,0))</f>
        <v>2</v>
      </c>
      <c r="E16" s="20">
        <f>IF(Resultats!F29=0, $N$2, RANK(Resultats!F29,Resultats!$C29:$O29,0))</f>
        <v>13</v>
      </c>
      <c r="F16" s="20">
        <f>IF(Resultats!G29=0, $N$2, RANK(Resultats!G29,Resultats!$C29:$O29,0))</f>
        <v>1</v>
      </c>
      <c r="G16" s="20">
        <f>IF(Resultats!H29=0, $N$2, RANK(Resultats!H29,Resultats!$C29:$O29,0))</f>
        <v>4</v>
      </c>
      <c r="H16" s="20">
        <f>IF(Resultats!I29=0, $N$2, RANK(Resultats!I29,Resultats!$C29:$O29,0))</f>
        <v>5</v>
      </c>
      <c r="I16" s="20">
        <f>IF(Resultats!J29=0, $N$2, RANK(Resultats!J29,Resultats!$C29:$O29,0))</f>
        <v>13</v>
      </c>
      <c r="J16" s="20">
        <f>IF(Resultats!K29=0, $N$2, RANK(Resultats!K29,Resultats!$C29:$O29,0))</f>
        <v>13</v>
      </c>
      <c r="K16" s="20">
        <f>IF(Resultats!L29=0, $N$2, RANK(Resultats!L29,Resultats!$C29:$O29,0))</f>
        <v>6</v>
      </c>
      <c r="L16" s="20">
        <f>IF(Resultats!M29=0, $N$2, RANK(Resultats!M29,Resultats!$C29:$O29,0))</f>
        <v>13</v>
      </c>
      <c r="M16" s="20">
        <f>IF(Resultats!N29=0, $N$2, RANK(Resultats!N29,Resultats!$C29:$O29,0))</f>
        <v>13</v>
      </c>
      <c r="N16" s="20">
        <f>IF(Resultats!O29=0, $N$2, RANK(Resultats!O29,Resultats!$C29:$O29,0))</f>
        <v>13</v>
      </c>
    </row>
    <row r="17">
      <c r="A17" s="78" t="str">
        <f>Resultats!A30</f>
        <v>regional_instance.in</v>
      </c>
      <c r="B17" s="20">
        <f>IF(Resultats!C30=0, $N$2, RANK(Resultats!C30,Resultats!$C30:$O30,0))</f>
        <v>3</v>
      </c>
      <c r="C17" s="20">
        <f>IF(Resultats!D30=0, $N$2, RANK(Resultats!D30,Resultats!$C30:$O30,0))</f>
        <v>13</v>
      </c>
      <c r="D17" s="20">
        <f>IF(Resultats!E30=0, $N$2, RANK(Resultats!E30,Resultats!$C30:$O30,0))</f>
        <v>1</v>
      </c>
      <c r="E17" s="20">
        <f>IF(Resultats!F30=0, $N$2, RANK(Resultats!F30,Resultats!$C30:$O30,0))</f>
        <v>13</v>
      </c>
      <c r="F17" s="20">
        <f>IF(Resultats!G30=0, $N$2, RANK(Resultats!G30,Resultats!$C30:$O30,0))</f>
        <v>2</v>
      </c>
      <c r="G17" s="20">
        <f>IF(Resultats!H30=0, $N$2, RANK(Resultats!H30,Resultats!$C30:$O30,0))</f>
        <v>4</v>
      </c>
      <c r="H17" s="20">
        <f>IF(Resultats!I30=0, $N$2, RANK(Resultats!I30,Resultats!$C30:$O30,0))</f>
        <v>5</v>
      </c>
      <c r="I17" s="20">
        <f>IF(Resultats!J30=0, $N$2, RANK(Resultats!J30,Resultats!$C30:$O30,0))</f>
        <v>13</v>
      </c>
      <c r="J17" s="20">
        <f>IF(Resultats!K30=0, $N$2, RANK(Resultats!K30,Resultats!$C30:$O30,0))</f>
        <v>13</v>
      </c>
      <c r="K17" s="20">
        <f>IF(Resultats!L30=0, $N$2, RANK(Resultats!L30,Resultats!$C30:$O30,0))</f>
        <v>6</v>
      </c>
      <c r="L17" s="20">
        <f>IF(Resultats!M30=0, $N$2, RANK(Resultats!M30,Resultats!$C30:$O30,0))</f>
        <v>13</v>
      </c>
      <c r="M17" s="20">
        <f>IF(Resultats!N30=0, $N$2, RANK(Resultats!N30,Resultats!$C30:$O30,0))</f>
        <v>13</v>
      </c>
      <c r="N17" s="20">
        <f>IF(Resultats!O30=0, $N$2, RANK(Resultats!O30,Resultats!$C30:$O30,0))</f>
        <v>13</v>
      </c>
    </row>
    <row r="18">
      <c r="A18" s="78" t="str">
        <f>Resultats!A31</f>
        <v>zipF_instance.in</v>
      </c>
      <c r="B18" s="20">
        <f>IF(Resultats!C31=0, $N$2, RANK(Resultats!C31,Resultats!$C31:$O31,0))</f>
        <v>3</v>
      </c>
      <c r="C18" s="20">
        <f>IF(Resultats!D31=0, $N$2, RANK(Resultats!D31,Resultats!$C31:$O31,0))</f>
        <v>13</v>
      </c>
      <c r="D18" s="20">
        <f>IF(Resultats!E31=0, $N$2, RANK(Resultats!E31,Resultats!$C31:$O31,0))</f>
        <v>1</v>
      </c>
      <c r="E18" s="20">
        <f>IF(Resultats!F31=0, $N$2, RANK(Resultats!F31,Resultats!$C31:$O31,0))</f>
        <v>13</v>
      </c>
      <c r="F18" s="20">
        <f>IF(Resultats!G31=0, $N$2, RANK(Resultats!G31,Resultats!$C31:$O31,0))</f>
        <v>2</v>
      </c>
      <c r="G18" s="20">
        <f>IF(Resultats!H31=0, $N$2, RANK(Resultats!H31,Resultats!$C31:$O31,0))</f>
        <v>4</v>
      </c>
      <c r="H18" s="20">
        <f>IF(Resultats!I31=0, $N$2, RANK(Resultats!I31,Resultats!$C31:$O31,0))</f>
        <v>6</v>
      </c>
      <c r="I18" s="20">
        <f>IF(Resultats!J31=0, $N$2, RANK(Resultats!J31,Resultats!$C31:$O31,0))</f>
        <v>13</v>
      </c>
      <c r="J18" s="20">
        <f>IF(Resultats!K31=0, $N$2, RANK(Resultats!K31,Resultats!$C31:$O31,0))</f>
        <v>13</v>
      </c>
      <c r="K18" s="20">
        <f>IF(Resultats!L31=0, $N$2, RANK(Resultats!L31,Resultats!$C31:$O31,0))</f>
        <v>5</v>
      </c>
      <c r="L18" s="20">
        <f>IF(Resultats!M31=0, $N$2, RANK(Resultats!M31,Resultats!$C31:$O31,0))</f>
        <v>13</v>
      </c>
      <c r="M18" s="20">
        <f>IF(Resultats!N31=0, $N$2, RANK(Resultats!N31,Resultats!$C31:$O31,0))</f>
        <v>13</v>
      </c>
      <c r="N18" s="20">
        <f>IF(Resultats!O31=0, $N$2, RANK(Resultats!O31,Resultats!$C31:$O31,0))</f>
        <v>13</v>
      </c>
    </row>
    <row r="19">
      <c r="A19" s="78" t="str">
        <f>Resultats!A32</f>
        <v>big.in</v>
      </c>
      <c r="B19" s="20">
        <f>IF(Resultats!C32=0, $N$2, RANK(Resultats!C32,Resultats!$C32:$O32,0))</f>
        <v>3</v>
      </c>
      <c r="C19" s="20">
        <f>IF(Resultats!D32=0, $N$2, RANK(Resultats!D32,Resultats!$C32:$O32,0))</f>
        <v>13</v>
      </c>
      <c r="D19" s="20">
        <f>IF(Resultats!E32=0, $N$2, RANK(Resultats!E32,Resultats!$C32:$O32,0))</f>
        <v>1</v>
      </c>
      <c r="E19" s="20">
        <f>IF(Resultats!F32=0, $N$2, RANK(Resultats!F32,Resultats!$C32:$O32,0))</f>
        <v>13</v>
      </c>
      <c r="F19" s="20">
        <f>IF(Resultats!G32=0, $N$2, RANK(Resultats!G32,Resultats!$C32:$O32,0))</f>
        <v>3</v>
      </c>
      <c r="G19" s="20">
        <f>IF(Resultats!H32=0, $N$2, RANK(Resultats!H32,Resultats!$C32:$O32,0))</f>
        <v>3</v>
      </c>
      <c r="H19" s="20">
        <f>IF(Resultats!I32=0, $N$2, RANK(Resultats!I32,Resultats!$C32:$O32,0))</f>
        <v>1</v>
      </c>
      <c r="I19" s="20">
        <f>IF(Resultats!J32=0, $N$2, RANK(Resultats!J32,Resultats!$C32:$O32,0))</f>
        <v>13</v>
      </c>
      <c r="J19" s="20">
        <f>IF(Resultats!K32=0, $N$2, RANK(Resultats!K32,Resultats!$C32:$O32,0))</f>
        <v>13</v>
      </c>
      <c r="K19" s="20">
        <f>IF(Resultats!L32=0, $N$2, RANK(Resultats!L32,Resultats!$C32:$O32,0))</f>
        <v>3</v>
      </c>
      <c r="L19" s="20">
        <f>IF(Resultats!M32=0, $N$2, RANK(Resultats!M32,Resultats!$C32:$O32,0))</f>
        <v>13</v>
      </c>
      <c r="M19" s="20">
        <f>IF(Resultats!N32=0, $N$2, RANK(Resultats!N32,Resultats!$C32:$O32,0))</f>
        <v>13</v>
      </c>
      <c r="N19" s="20">
        <f>IF(Resultats!O32=0, $N$2, RANK(Resultats!O32,Resultats!$C32:$O32,0))</f>
        <v>13</v>
      </c>
    </row>
    <row r="20">
      <c r="A20" s="78" t="str">
        <f>Resultats!A33</f>
        <v>supra.in</v>
      </c>
      <c r="B20" s="20">
        <f>IF(Resultats!C33=0, $N$2, RANK(Resultats!C33,Resultats!$C33:$O33,0))</f>
        <v>3</v>
      </c>
      <c r="C20" s="20">
        <f>IF(Resultats!D33=0, $N$2, RANK(Resultats!D33,Resultats!$C33:$O33,0))</f>
        <v>13</v>
      </c>
      <c r="D20" s="20">
        <f>IF(Resultats!E33=0, $N$2, RANK(Resultats!E33,Resultats!$C33:$O33,0))</f>
        <v>1</v>
      </c>
      <c r="E20" s="20">
        <f>IF(Resultats!F33=0, $N$2, RANK(Resultats!F33,Resultats!$C33:$O33,0))</f>
        <v>13</v>
      </c>
      <c r="F20" s="20">
        <f>IF(Resultats!G33=0, $N$2, RANK(Resultats!G33,Resultats!$C33:$O33,0))</f>
        <v>3</v>
      </c>
      <c r="G20" s="20">
        <f>IF(Resultats!H33=0, $N$2, RANK(Resultats!H33,Resultats!$C33:$O33,0))</f>
        <v>3</v>
      </c>
      <c r="H20" s="20">
        <f>IF(Resultats!I33=0, $N$2, RANK(Resultats!I33,Resultats!$C33:$O33,0))</f>
        <v>1</v>
      </c>
      <c r="I20" s="20">
        <f>IF(Resultats!J33=0, $N$2, RANK(Resultats!J33,Resultats!$C33:$O33,0))</f>
        <v>13</v>
      </c>
      <c r="J20" s="20">
        <f>IF(Resultats!K33=0, $N$2, RANK(Resultats!K33,Resultats!$C33:$O33,0))</f>
        <v>13</v>
      </c>
      <c r="K20" s="20">
        <f>IF(Resultats!L33=0, $N$2, RANK(Resultats!L33,Resultats!$C33:$O33,0))</f>
        <v>3</v>
      </c>
      <c r="L20" s="20">
        <f>IF(Resultats!M33=0, $N$2, RANK(Resultats!M33,Resultats!$C33:$O33,0))</f>
        <v>13</v>
      </c>
      <c r="M20" s="20">
        <f>IF(Resultats!N33=0, $N$2, RANK(Resultats!N33,Resultats!$C33:$O33,0))</f>
        <v>13</v>
      </c>
      <c r="N20" s="20">
        <f>IF(Resultats!O33=0, $N$2, RANK(Resultats!O33,Resultats!$C33:$O33,0))</f>
        <v>13</v>
      </c>
    </row>
    <row r="21">
      <c r="A21" s="78" t="str">
        <f>Resultats!A34</f>
        <v>INSATANC2D.in</v>
      </c>
      <c r="B21" s="20">
        <f>IF(Resultats!C34=0, $N$2, RANK(Resultats!C34,Resultats!$C34:$O34,0))</f>
        <v>3</v>
      </c>
      <c r="C21" s="20">
        <f>IF(Resultats!D34=0, $N$2, RANK(Resultats!D34,Resultats!$C34:$O34,0))</f>
        <v>13</v>
      </c>
      <c r="D21" s="20">
        <f>IF(Resultats!E34=0, $N$2, RANK(Resultats!E34,Resultats!$C34:$O34,0))</f>
        <v>2</v>
      </c>
      <c r="E21" s="20">
        <f>IF(Resultats!F34=0, $N$2, RANK(Resultats!F34,Resultats!$C34:$O34,0))</f>
        <v>13</v>
      </c>
      <c r="F21" s="20">
        <f>IF(Resultats!G34=0, $N$2, RANK(Resultats!G34,Resultats!$C34:$O34,0))</f>
        <v>1</v>
      </c>
      <c r="G21" s="20">
        <f>IF(Resultats!H34=0, $N$2, RANK(Resultats!H34,Resultats!$C34:$O34,0))</f>
        <v>4</v>
      </c>
      <c r="H21" s="20">
        <f>IF(Resultats!I34=0, $N$2, RANK(Resultats!I34,Resultats!$C34:$O34,0))</f>
        <v>5</v>
      </c>
      <c r="I21" s="20">
        <f>IF(Resultats!J34=0, $N$2, RANK(Resultats!J34,Resultats!$C34:$O34,0))</f>
        <v>13</v>
      </c>
      <c r="J21" s="20">
        <f>IF(Resultats!K34=0, $N$2, RANK(Resultats!K34,Resultats!$C34:$O34,0))</f>
        <v>13</v>
      </c>
      <c r="K21" s="20">
        <f>IF(Resultats!L34=0, $N$2, RANK(Resultats!L34,Resultats!$C34:$O34,0))</f>
        <v>13</v>
      </c>
      <c r="L21" s="20">
        <f>IF(Resultats!M34=0, $N$2, RANK(Resultats!M34,Resultats!$C34:$O34,0))</f>
        <v>13</v>
      </c>
      <c r="M21" s="20">
        <f>IF(Resultats!N34=0, $N$2, RANK(Resultats!N34,Resultats!$C34:$O34,0))</f>
        <v>13</v>
      </c>
      <c r="N21" s="20">
        <f>IF(Resultats!O34=0, $N$2, RANK(Resultats!O34,Resultats!$C34:$O34,0))</f>
        <v>13</v>
      </c>
    </row>
    <row r="22">
      <c r="A22" s="78" t="str">
        <f>Resultats!A35</f>
        <v>INSTANCED.in</v>
      </c>
      <c r="B22" s="20">
        <f>IF(Resultats!C35=0, $N$2, RANK(Resultats!C35,Resultats!$C35:$O35,0))</f>
        <v>4</v>
      </c>
      <c r="C22" s="20">
        <f>IF(Resultats!D35=0, $N$2, RANK(Resultats!D35,Resultats!$C35:$O35,0))</f>
        <v>13</v>
      </c>
      <c r="D22" s="20">
        <f>IF(Resultats!E35=0, $N$2, RANK(Resultats!E35,Resultats!$C35:$O35,0))</f>
        <v>2</v>
      </c>
      <c r="E22" s="20">
        <f>IF(Resultats!F35=0, $N$2, RANK(Resultats!F35,Resultats!$C35:$O35,0))</f>
        <v>13</v>
      </c>
      <c r="F22" s="20">
        <f>IF(Resultats!G35=0, $N$2, RANK(Resultats!G35,Resultats!$C35:$O35,0))</f>
        <v>3</v>
      </c>
      <c r="G22" s="20">
        <f>IF(Resultats!H35=0, $N$2, RANK(Resultats!H35,Resultats!$C35:$O35,0))</f>
        <v>5</v>
      </c>
      <c r="H22" s="20">
        <f>IF(Resultats!I35=0, $N$2, RANK(Resultats!I35,Resultats!$C35:$O35,0))</f>
        <v>1</v>
      </c>
      <c r="I22" s="20">
        <f>IF(Resultats!J35=0, $N$2, RANK(Resultats!J35,Resultats!$C35:$O35,0))</f>
        <v>13</v>
      </c>
      <c r="J22" s="20">
        <f>IF(Resultats!K35=0, $N$2, RANK(Resultats!K35,Resultats!$C35:$O35,0))</f>
        <v>13</v>
      </c>
      <c r="K22" s="20">
        <f>IF(Resultats!L35=0, $N$2, RANK(Resultats!L35,Resultats!$C35:$O35,0))</f>
        <v>13</v>
      </c>
      <c r="L22" s="20">
        <f>IF(Resultats!M35=0, $N$2, RANK(Resultats!M35,Resultats!$C35:$O35,0))</f>
        <v>13</v>
      </c>
      <c r="M22" s="20">
        <f>IF(Resultats!N35=0, $N$2, RANK(Resultats!N35,Resultats!$C35:$O35,0))</f>
        <v>13</v>
      </c>
      <c r="N22" s="20">
        <f>IF(Resultats!O35=0, $N$2, RANK(Resultats!O35,Resultats!$C35:$O35,0))</f>
        <v>13</v>
      </c>
    </row>
    <row r="23">
      <c r="A23" s="78" t="str">
        <f>Resultats!A36</f>
        <v>2_2_2_1.in</v>
      </c>
      <c r="B23" s="20">
        <f>IF(Resultats!C36=0, $N$2, RANK(Resultats!C36,Resultats!$C36:$O36,0))</f>
        <v>3</v>
      </c>
      <c r="C23" s="20">
        <f>IF(Resultats!D36=0, $N$2, RANK(Resultats!D36,Resultats!$C36:$O36,0))</f>
        <v>13</v>
      </c>
      <c r="D23" s="20">
        <f>IF(Resultats!E36=0, $N$2, RANK(Resultats!E36,Resultats!$C36:$O36,0))</f>
        <v>1</v>
      </c>
      <c r="E23" s="20">
        <f>IF(Resultats!F36=0, $N$2, RANK(Resultats!F36,Resultats!$C36:$O36,0))</f>
        <v>13</v>
      </c>
      <c r="F23" s="20">
        <f>IF(Resultats!G36=0, $N$2, RANK(Resultats!G36,Resultats!$C36:$O36,0))</f>
        <v>13</v>
      </c>
      <c r="G23" s="20">
        <f>IF(Resultats!H36=0, $N$2, RANK(Resultats!H36,Resultats!$C36:$O36,0))</f>
        <v>3</v>
      </c>
      <c r="H23" s="20">
        <f>IF(Resultats!I36=0, $N$2, RANK(Resultats!I36,Resultats!$C36:$O36,0))</f>
        <v>1</v>
      </c>
      <c r="I23" s="20">
        <f>IF(Resultats!J36=0, $N$2, RANK(Resultats!J36,Resultats!$C36:$O36,0))</f>
        <v>13</v>
      </c>
      <c r="J23" s="20">
        <f>IF(Resultats!K36=0, $N$2, RANK(Resultats!K36,Resultats!$C36:$O36,0))</f>
        <v>13</v>
      </c>
      <c r="K23" s="20">
        <f>IF(Resultats!L36=0, $N$2, RANK(Resultats!L36,Resultats!$C36:$O36,0))</f>
        <v>13</v>
      </c>
      <c r="L23" s="20">
        <f>IF(Resultats!M36=0, $N$2, RANK(Resultats!M36,Resultats!$C36:$O36,0))</f>
        <v>13</v>
      </c>
      <c r="M23" s="20">
        <f>IF(Resultats!N36=0, $N$2, RANK(Resultats!N36,Resultats!$C36:$O36,0))</f>
        <v>13</v>
      </c>
      <c r="N23" s="20">
        <f>IF(Resultats!O36=0, $N$2, RANK(Resultats!O36,Resultats!$C36:$O36,0))</f>
        <v>13</v>
      </c>
    </row>
    <row r="24">
      <c r="A24" s="78" t="str">
        <f>Resultats!A37</f>
        <v>4_2_4_2.in</v>
      </c>
      <c r="B24" s="20">
        <f>IF(Resultats!C37=0, $N$2, RANK(Resultats!C37,Resultats!$C37:$O37,0))</f>
        <v>3</v>
      </c>
      <c r="C24" s="20">
        <f>IF(Resultats!D37=0, $N$2, RANK(Resultats!D37,Resultats!$C37:$O37,0))</f>
        <v>13</v>
      </c>
      <c r="D24" s="20">
        <f>IF(Resultats!E37=0, $N$2, RANK(Resultats!E37,Resultats!$C37:$O37,0))</f>
        <v>2</v>
      </c>
      <c r="E24" s="20">
        <f>IF(Resultats!F37=0, $N$2, RANK(Resultats!F37,Resultats!$C37:$O37,0))</f>
        <v>13</v>
      </c>
      <c r="F24" s="20">
        <f>IF(Resultats!G37=0, $N$2, RANK(Resultats!G37,Resultats!$C37:$O37,0))</f>
        <v>13</v>
      </c>
      <c r="G24" s="20">
        <f>IF(Resultats!H37=0, $N$2, RANK(Resultats!H37,Resultats!$C37:$O37,0))</f>
        <v>3</v>
      </c>
      <c r="H24" s="20">
        <f>IF(Resultats!I37=0, $N$2, RANK(Resultats!I37,Resultats!$C37:$O37,0))</f>
        <v>1</v>
      </c>
      <c r="I24" s="20">
        <f>IF(Resultats!J37=0, $N$2, RANK(Resultats!J37,Resultats!$C37:$O37,0))</f>
        <v>13</v>
      </c>
      <c r="J24" s="20">
        <f>IF(Resultats!K37=0, $N$2, RANK(Resultats!K37,Resultats!$C37:$O37,0))</f>
        <v>13</v>
      </c>
      <c r="K24" s="20">
        <f>IF(Resultats!L37=0, $N$2, RANK(Resultats!L37,Resultats!$C37:$O37,0))</f>
        <v>13</v>
      </c>
      <c r="L24" s="20">
        <f>IF(Resultats!M37=0, $N$2, RANK(Resultats!M37,Resultats!$C37:$O37,0))</f>
        <v>13</v>
      </c>
      <c r="M24" s="20">
        <f>IF(Resultats!N37=0, $N$2, RANK(Resultats!N37,Resultats!$C37:$O37,0))</f>
        <v>13</v>
      </c>
      <c r="N24" s="20">
        <f>IF(Resultats!O37=0, $N$2, RANK(Resultats!O37,Resultats!$C37:$O37,0))</f>
        <v>13</v>
      </c>
    </row>
    <row r="25">
      <c r="A25" s="78" t="str">
        <f>Resultats!A38</f>
        <v>6_2_6_2.in</v>
      </c>
      <c r="B25" s="20">
        <f>IF(Resultats!C38=0, $N$2, RANK(Resultats!C38,Resultats!$C38:$O38,0))</f>
        <v>2</v>
      </c>
      <c r="C25" s="20">
        <f>IF(Resultats!D38=0, $N$2, RANK(Resultats!D38,Resultats!$C38:$O38,0))</f>
        <v>13</v>
      </c>
      <c r="D25" s="20">
        <f>IF(Resultats!E38=0, $N$2, RANK(Resultats!E38,Resultats!$C38:$O38,0))</f>
        <v>2</v>
      </c>
      <c r="E25" s="20">
        <f>IF(Resultats!F38=0, $N$2, RANK(Resultats!F38,Resultats!$C38:$O38,0))</f>
        <v>13</v>
      </c>
      <c r="F25" s="20">
        <f>IF(Resultats!G38=0, $N$2, RANK(Resultats!G38,Resultats!$C38:$O38,0))</f>
        <v>13</v>
      </c>
      <c r="G25" s="20">
        <f>IF(Resultats!H38=0, $N$2, RANK(Resultats!H38,Resultats!$C38:$O38,0))</f>
        <v>2</v>
      </c>
      <c r="H25" s="20">
        <f>IF(Resultats!I38=0, $N$2, RANK(Resultats!I38,Resultats!$C38:$O38,0))</f>
        <v>1</v>
      </c>
      <c r="I25" s="20">
        <f>IF(Resultats!J38=0, $N$2, RANK(Resultats!J38,Resultats!$C38:$O38,0))</f>
        <v>13</v>
      </c>
      <c r="J25" s="20">
        <f>IF(Resultats!K38=0, $N$2, RANK(Resultats!K38,Resultats!$C38:$O38,0))</f>
        <v>13</v>
      </c>
      <c r="K25" s="20">
        <f>IF(Resultats!L38=0, $N$2, RANK(Resultats!L38,Resultats!$C38:$O38,0))</f>
        <v>13</v>
      </c>
      <c r="L25" s="20">
        <f>IF(Resultats!M38=0, $N$2, RANK(Resultats!M38,Resultats!$C38:$O38,0))</f>
        <v>13</v>
      </c>
      <c r="M25" s="20">
        <f>IF(Resultats!N38=0, $N$2, RANK(Resultats!N38,Resultats!$C38:$O38,0))</f>
        <v>13</v>
      </c>
      <c r="N25" s="20">
        <f>IF(Resultats!O38=0, $N$2, RANK(Resultats!O38,Resultats!$C38:$O38,0))</f>
        <v>13</v>
      </c>
    </row>
    <row r="26">
      <c r="A26" s="78" t="str">
        <f>Resultats!A39</f>
        <v>8_2_8_2.in</v>
      </c>
      <c r="B26" s="20">
        <f>IF(Resultats!C39=0, $N$2, RANK(Resultats!C39,Resultats!$C39:$O39,0))</f>
        <v>3</v>
      </c>
      <c r="C26" s="20">
        <f>IF(Resultats!D39=0, $N$2, RANK(Resultats!D39,Resultats!$C39:$O39,0))</f>
        <v>13</v>
      </c>
      <c r="D26" s="20">
        <f>IF(Resultats!E39=0, $N$2, RANK(Resultats!E39,Resultats!$C39:$O39,0))</f>
        <v>2</v>
      </c>
      <c r="E26" s="20">
        <f>IF(Resultats!F39=0, $N$2, RANK(Resultats!F39,Resultats!$C39:$O39,0))</f>
        <v>13</v>
      </c>
      <c r="F26" s="20">
        <f>IF(Resultats!G39=0, $N$2, RANK(Resultats!G39,Resultats!$C39:$O39,0))</f>
        <v>13</v>
      </c>
      <c r="G26" s="20">
        <f>IF(Resultats!H39=0, $N$2, RANK(Resultats!H39,Resultats!$C39:$O39,0))</f>
        <v>3</v>
      </c>
      <c r="H26" s="20">
        <f>IF(Resultats!I39=0, $N$2, RANK(Resultats!I39,Resultats!$C39:$O39,0))</f>
        <v>1</v>
      </c>
      <c r="I26" s="20">
        <f>IF(Resultats!J39=0, $N$2, RANK(Resultats!J39,Resultats!$C39:$O39,0))</f>
        <v>13</v>
      </c>
      <c r="J26" s="20">
        <f>IF(Resultats!K39=0, $N$2, RANK(Resultats!K39,Resultats!$C39:$O39,0))</f>
        <v>13</v>
      </c>
      <c r="K26" s="20">
        <f>IF(Resultats!L39=0, $N$2, RANK(Resultats!L39,Resultats!$C39:$O39,0))</f>
        <v>13</v>
      </c>
      <c r="L26" s="20">
        <f>IF(Resultats!M39=0, $N$2, RANK(Resultats!M39,Resultats!$C39:$O39,0))</f>
        <v>13</v>
      </c>
      <c r="M26" s="20">
        <f>IF(Resultats!N39=0, $N$2, RANK(Resultats!N39,Resultats!$C39:$O39,0))</f>
        <v>13</v>
      </c>
      <c r="N26" s="20">
        <f>IF(Resultats!O39=0, $N$2, RANK(Resultats!O39,Resultats!$C39:$O39,0))</f>
        <v>13</v>
      </c>
    </row>
    <row r="27">
      <c r="A27" s="78" t="str">
        <f>Resultats!A40</f>
        <v>20_2_20_2.in</v>
      </c>
      <c r="B27" s="20">
        <f>IF(Resultats!C40=0, $N$2, RANK(Resultats!C40,Resultats!$C40:$O40,0))</f>
        <v>3</v>
      </c>
      <c r="C27" s="20">
        <f>IF(Resultats!D40=0, $N$2, RANK(Resultats!D40,Resultats!$C40:$O40,0))</f>
        <v>13</v>
      </c>
      <c r="D27" s="20">
        <f>IF(Resultats!E40=0, $N$2, RANK(Resultats!E40,Resultats!$C40:$O40,0))</f>
        <v>1</v>
      </c>
      <c r="E27" s="20">
        <f>IF(Resultats!F40=0, $N$2, RANK(Resultats!F40,Resultats!$C40:$O40,0))</f>
        <v>13</v>
      </c>
      <c r="F27" s="20">
        <f>IF(Resultats!G40=0, $N$2, RANK(Resultats!G40,Resultats!$C40:$O40,0))</f>
        <v>13</v>
      </c>
      <c r="G27" s="20">
        <f>IF(Resultats!H40=0, $N$2, RANK(Resultats!H40,Resultats!$C40:$O40,0))</f>
        <v>3</v>
      </c>
      <c r="H27" s="20">
        <f>IF(Resultats!I40=0, $N$2, RANK(Resultats!I40,Resultats!$C40:$O40,0))</f>
        <v>1</v>
      </c>
      <c r="I27" s="20">
        <f>IF(Resultats!J40=0, $N$2, RANK(Resultats!J40,Resultats!$C40:$O40,0))</f>
        <v>13</v>
      </c>
      <c r="J27" s="20">
        <f>IF(Resultats!K40=0, $N$2, RANK(Resultats!K40,Resultats!$C40:$O40,0))</f>
        <v>13</v>
      </c>
      <c r="K27" s="20">
        <f>IF(Resultats!L40=0, $N$2, RANK(Resultats!L40,Resultats!$C40:$O40,0))</f>
        <v>13</v>
      </c>
      <c r="L27" s="20">
        <f>IF(Resultats!M40=0, $N$2, RANK(Resultats!M40,Resultats!$C40:$O40,0))</f>
        <v>13</v>
      </c>
      <c r="M27" s="20">
        <f>IF(Resultats!N40=0, $N$2, RANK(Resultats!N40,Resultats!$C40:$O40,0))</f>
        <v>13</v>
      </c>
      <c r="N27" s="20">
        <f>IF(Resultats!O40=0, $N$2, RANK(Resultats!O40,Resultats!$C40:$O40,0))</f>
        <v>13</v>
      </c>
    </row>
    <row r="28">
      <c r="A28" s="78" t="str">
        <f>Resultats!A41</f>
        <v>realistic_large_clustered.in</v>
      </c>
      <c r="B28" s="20">
        <f>IF(Resultats!C41=0, $N$2, RANK(Resultats!C41,Resultats!$C41:$O41,0))</f>
        <v>2</v>
      </c>
      <c r="C28" s="20">
        <f>IF(Resultats!D41=0, $N$2, RANK(Resultats!D41,Resultats!$C41:$O41,0))</f>
        <v>13</v>
      </c>
      <c r="D28" s="20">
        <f>IF(Resultats!E41=0, $N$2, RANK(Resultats!E41,Resultats!$C41:$O41,0))</f>
        <v>1</v>
      </c>
      <c r="E28" s="20">
        <f>IF(Resultats!F41=0, $N$2, RANK(Resultats!F41,Resultats!$C41:$O41,0))</f>
        <v>13</v>
      </c>
      <c r="F28" s="20">
        <f>IF(Resultats!G41=0, $N$2, RANK(Resultats!G41,Resultats!$C41:$O41,0))</f>
        <v>13</v>
      </c>
      <c r="G28" s="20">
        <f>IF(Resultats!H41=0, $N$2, RANK(Resultats!H41,Resultats!$C41:$O41,0))</f>
        <v>3</v>
      </c>
      <c r="H28" s="20">
        <f>IF(Resultats!I41=0, $N$2, RANK(Resultats!I41,Resultats!$C41:$O41,0))</f>
        <v>4</v>
      </c>
      <c r="I28" s="20">
        <f>IF(Resultats!J41=0, $N$2, RANK(Resultats!J41,Resultats!$C41:$O41,0))</f>
        <v>13</v>
      </c>
      <c r="J28" s="20">
        <f>IF(Resultats!K41=0, $N$2, RANK(Resultats!K41,Resultats!$C41:$O41,0))</f>
        <v>13</v>
      </c>
      <c r="K28" s="20">
        <f>IF(Resultats!L41=0, $N$2, RANK(Resultats!L41,Resultats!$C41:$O41,0))</f>
        <v>13</v>
      </c>
      <c r="L28" s="20">
        <f>IF(Resultats!M41=0, $N$2, RANK(Resultats!M41,Resultats!$C41:$O41,0))</f>
        <v>13</v>
      </c>
      <c r="M28" s="20">
        <f>IF(Resultats!N41=0, $N$2, RANK(Resultats!N41,Resultats!$C41:$O41,0))</f>
        <v>13</v>
      </c>
      <c r="N28" s="20">
        <f>IF(Resultats!O41=0, $N$2, RANK(Resultats!O41,Resultats!$C41:$O41,0))</f>
        <v>13</v>
      </c>
    </row>
    <row r="29">
      <c r="A29" s="78" t="str">
        <f>Resultats!A42</f>
        <v>realistic_large_random.in</v>
      </c>
      <c r="B29" s="20">
        <f>IF(Resultats!C42=0, $N$2, RANK(Resultats!C42,Resultats!$C42:$O42,0))</f>
        <v>2</v>
      </c>
      <c r="C29" s="20">
        <f>IF(Resultats!D42=0, $N$2, RANK(Resultats!D42,Resultats!$C42:$O42,0))</f>
        <v>13</v>
      </c>
      <c r="D29" s="20">
        <f>IF(Resultats!E42=0, $N$2, RANK(Resultats!E42,Resultats!$C42:$O42,0))</f>
        <v>1</v>
      </c>
      <c r="E29" s="20">
        <f>IF(Resultats!F42=0, $N$2, RANK(Resultats!F42,Resultats!$C42:$O42,0))</f>
        <v>13</v>
      </c>
      <c r="F29" s="20">
        <f>IF(Resultats!G42=0, $N$2, RANK(Resultats!G42,Resultats!$C42:$O42,0))</f>
        <v>13</v>
      </c>
      <c r="G29" s="20">
        <f>IF(Resultats!H42=0, $N$2, RANK(Resultats!H42,Resultats!$C42:$O42,0))</f>
        <v>3</v>
      </c>
      <c r="H29" s="20">
        <f>IF(Resultats!I42=0, $N$2, RANK(Resultats!I42,Resultats!$C42:$O42,0))</f>
        <v>4</v>
      </c>
      <c r="I29" s="20">
        <f>IF(Resultats!J42=0, $N$2, RANK(Resultats!J42,Resultats!$C42:$O42,0))</f>
        <v>13</v>
      </c>
      <c r="J29" s="20">
        <f>IF(Resultats!K42=0, $N$2, RANK(Resultats!K42,Resultats!$C42:$O42,0))</f>
        <v>13</v>
      </c>
      <c r="K29" s="20">
        <f>IF(Resultats!L42=0, $N$2, RANK(Resultats!L42,Resultats!$C42:$O42,0))</f>
        <v>13</v>
      </c>
      <c r="L29" s="20">
        <f>IF(Resultats!M42=0, $N$2, RANK(Resultats!M42,Resultats!$C42:$O42,0))</f>
        <v>13</v>
      </c>
      <c r="M29" s="20">
        <f>IF(Resultats!N42=0, $N$2, RANK(Resultats!N42,Resultats!$C42:$O42,0))</f>
        <v>13</v>
      </c>
      <c r="N29" s="20">
        <f>IF(Resultats!O42=0, $N$2, RANK(Resultats!O42,Resultats!$C42:$O42,0))</f>
        <v>13</v>
      </c>
    </row>
    <row r="30">
      <c r="A30" s="64" t="str">
        <f>Resultats!A43</f>
        <v>dense</v>
      </c>
      <c r="B30" s="20">
        <f>IF(Resultats!C43=0, $N$2, RANK(Resultats!C43,Resultats!$C43:$O43,0))</f>
        <v>4</v>
      </c>
      <c r="C30" s="20">
        <f>IF(Resultats!D43=0, $N$2, RANK(Resultats!D43,Resultats!$C43:$O43,0))</f>
        <v>13</v>
      </c>
      <c r="D30" s="20">
        <f>IF(Resultats!E43=0, $N$2, RANK(Resultats!E43,Resultats!$C43:$O43,0))</f>
        <v>1</v>
      </c>
      <c r="E30" s="20">
        <f>IF(Resultats!F43=0, $N$2, RANK(Resultats!F43,Resultats!$C43:$O43,0))</f>
        <v>13</v>
      </c>
      <c r="F30" s="20">
        <f>IF(Resultats!G43=0, $N$2, RANK(Resultats!G43,Resultats!$C43:$O43,0))</f>
        <v>13</v>
      </c>
      <c r="G30" s="20">
        <f>IF(Resultats!H43=0, $N$2, RANK(Resultats!H43,Resultats!$C43:$O43,0))</f>
        <v>3</v>
      </c>
      <c r="H30" s="20">
        <f>IF(Resultats!I43=0, $N$2, RANK(Resultats!I43,Resultats!$C43:$O43,0))</f>
        <v>1</v>
      </c>
      <c r="I30" s="20">
        <f>IF(Resultats!J43=0, $N$2, RANK(Resultats!J43,Resultats!$C43:$O43,0))</f>
        <v>13</v>
      </c>
      <c r="J30" s="20">
        <f>IF(Resultats!K43=0, $N$2, RANK(Resultats!K43,Resultats!$C43:$O43,0))</f>
        <v>13</v>
      </c>
      <c r="K30" s="20">
        <f>IF(Resultats!L43=0, $N$2, RANK(Resultats!L43,Resultats!$C43:$O43,0))</f>
        <v>13</v>
      </c>
      <c r="L30" s="20">
        <f>IF(Resultats!M43=0, $N$2, RANK(Resultats!M43,Resultats!$C43:$O43,0))</f>
        <v>13</v>
      </c>
      <c r="M30" s="20">
        <f>IF(Resultats!N43=0, $N$2, RANK(Resultats!N43,Resultats!$C43:$O43,0))</f>
        <v>13</v>
      </c>
      <c r="N30" s="20">
        <f>IF(Resultats!O43=0, $N$2, RANK(Resultats!O43,Resultats!$C43:$O43,0))</f>
        <v>13</v>
      </c>
    </row>
    <row r="31">
      <c r="A31" s="64" t="str">
        <f>Resultats!A44</f>
        <v>dense2</v>
      </c>
      <c r="B31" s="20">
        <f>IF(Resultats!C44=0, $N$2, RANK(Resultats!C44,Resultats!$C44:$O44,0))</f>
        <v>3</v>
      </c>
      <c r="C31" s="20">
        <f>IF(Resultats!D44=0, $N$2, RANK(Resultats!D44,Resultats!$C44:$O44,0))</f>
        <v>13</v>
      </c>
      <c r="D31" s="20">
        <f>IF(Resultats!E44=0, $N$2, RANK(Resultats!E44,Resultats!$C44:$O44,0))</f>
        <v>1</v>
      </c>
      <c r="E31" s="20">
        <f>IF(Resultats!F44=0, $N$2, RANK(Resultats!F44,Resultats!$C44:$O44,0))</f>
        <v>13</v>
      </c>
      <c r="F31" s="20">
        <f>IF(Resultats!G44=0, $N$2, RANK(Resultats!G44,Resultats!$C44:$O44,0))</f>
        <v>13</v>
      </c>
      <c r="G31" s="20">
        <f>IF(Resultats!H44=0, $N$2, RANK(Resultats!H44,Resultats!$C44:$O44,0))</f>
        <v>4</v>
      </c>
      <c r="H31" s="20">
        <f>IF(Resultats!I44=0, $N$2, RANK(Resultats!I44,Resultats!$C44:$O44,0))</f>
        <v>1</v>
      </c>
      <c r="I31" s="20">
        <f>IF(Resultats!J44=0, $N$2, RANK(Resultats!J44,Resultats!$C44:$O44,0))</f>
        <v>13</v>
      </c>
      <c r="J31" s="20">
        <f>IF(Resultats!K44=0, $N$2, RANK(Resultats!K44,Resultats!$C44:$O44,0))</f>
        <v>13</v>
      </c>
      <c r="K31" s="20">
        <f>IF(Resultats!L44=0, $N$2, RANK(Resultats!L44,Resultats!$C44:$O44,0))</f>
        <v>13</v>
      </c>
      <c r="L31" s="20">
        <f>IF(Resultats!M44=0, $N$2, RANK(Resultats!M44,Resultats!$C44:$O44,0))</f>
        <v>13</v>
      </c>
      <c r="M31" s="20">
        <f>IF(Resultats!N44=0, $N$2, RANK(Resultats!N44,Resultats!$C44:$O44,0))</f>
        <v>13</v>
      </c>
      <c r="N31" s="20">
        <f>IF(Resultats!O44=0, $N$2, RANK(Resultats!O44,Resultats!$C44:$O44,0))</f>
        <v>13</v>
      </c>
    </row>
    <row r="32">
      <c r="A32" s="78" t="str">
        <f>Resultats!A45</f>
        <v>medium_mixed_lambda.in</v>
      </c>
      <c r="B32" s="20">
        <f>IF(Resultats!C45=0, $N$2, RANK(Resultats!C45,Resultats!$C45:$O45,0))</f>
        <v>1</v>
      </c>
      <c r="C32" s="20">
        <f>IF(Resultats!D45=0, $N$2, RANK(Resultats!D45,Resultats!$C45:$O45,0))</f>
        <v>13</v>
      </c>
      <c r="D32" s="20">
        <f>IF(Resultats!E45=0, $N$2, RANK(Resultats!E45,Resultats!$C45:$O45,0))</f>
        <v>1</v>
      </c>
      <c r="E32" s="20">
        <f>IF(Resultats!F45=0, $N$2, RANK(Resultats!F45,Resultats!$C45:$O45,0))</f>
        <v>13</v>
      </c>
      <c r="F32" s="20">
        <f>IF(Resultats!G45=0, $N$2, RANK(Resultats!G45,Resultats!$C45:$O45,0))</f>
        <v>13</v>
      </c>
      <c r="G32" s="20">
        <f>IF(Resultats!H45=0, $N$2, RANK(Resultats!H45,Resultats!$C45:$O45,0))</f>
        <v>3</v>
      </c>
      <c r="H32" s="20">
        <f>IF(Resultats!I45=0, $N$2, RANK(Resultats!I45,Resultats!$C45:$O45,0))</f>
        <v>4</v>
      </c>
      <c r="I32" s="20">
        <f>IF(Resultats!J45=0, $N$2, RANK(Resultats!J45,Resultats!$C45:$O45,0))</f>
        <v>13</v>
      </c>
      <c r="J32" s="20">
        <f>IF(Resultats!K45=0, $N$2, RANK(Resultats!K45,Resultats!$C45:$O45,0))</f>
        <v>13</v>
      </c>
      <c r="K32" s="20">
        <f>IF(Resultats!L45=0, $N$2, RANK(Resultats!L45,Resultats!$C45:$O45,0))</f>
        <v>13</v>
      </c>
      <c r="L32" s="20">
        <f>IF(Resultats!M45=0, $N$2, RANK(Resultats!M45,Resultats!$C45:$O45,0))</f>
        <v>13</v>
      </c>
      <c r="M32" s="20">
        <f>IF(Resultats!N45=0, $N$2, RANK(Resultats!N45,Resultats!$C45:$O45,0))</f>
        <v>13</v>
      </c>
      <c r="N32" s="20">
        <f>IF(Resultats!O45=0, $N$2, RANK(Resultats!O45,Resultats!$C45:$O45,0))</f>
        <v>13</v>
      </c>
    </row>
    <row r="33">
      <c r="A33" s="78" t="str">
        <f>Resultats!A46</f>
        <v>medium_skew_dense_dejavu.in</v>
      </c>
      <c r="B33" s="20">
        <f>IF(Resultats!C46=0, $N$2, RANK(Resultats!C46,Resultats!$C46:$O46,0))</f>
        <v>1</v>
      </c>
      <c r="C33" s="20">
        <f>IF(Resultats!D46=0, $N$2, RANK(Resultats!D46,Resultats!$C46:$O46,0))</f>
        <v>13</v>
      </c>
      <c r="D33" s="20">
        <f>IF(Resultats!E46=0, $N$2, RANK(Resultats!E46,Resultats!$C46:$O46,0))</f>
        <v>1</v>
      </c>
      <c r="E33" s="20">
        <f>IF(Resultats!F46=0, $N$2, RANK(Resultats!F46,Resultats!$C46:$O46,0))</f>
        <v>13</v>
      </c>
      <c r="F33" s="20">
        <f>IF(Resultats!G46=0, $N$2, RANK(Resultats!G46,Resultats!$C46:$O46,0))</f>
        <v>13</v>
      </c>
      <c r="G33" s="20">
        <f>IF(Resultats!H46=0, $N$2, RANK(Resultats!H46,Resultats!$C46:$O46,0))</f>
        <v>3</v>
      </c>
      <c r="H33" s="20">
        <f>IF(Resultats!I46=0, $N$2, RANK(Resultats!I46,Resultats!$C46:$O46,0))</f>
        <v>4</v>
      </c>
      <c r="I33" s="20">
        <f>IF(Resultats!J46=0, $N$2, RANK(Resultats!J46,Resultats!$C46:$O46,0))</f>
        <v>13</v>
      </c>
      <c r="J33" s="20">
        <f>IF(Resultats!K46=0, $N$2, RANK(Resultats!K46,Resultats!$C46:$O46,0))</f>
        <v>13</v>
      </c>
      <c r="K33" s="20">
        <f>IF(Resultats!L46=0, $N$2, RANK(Resultats!L46,Resultats!$C46:$O46,0))</f>
        <v>13</v>
      </c>
      <c r="L33" s="20">
        <f>IF(Resultats!M46=0, $N$2, RANK(Resultats!M46,Resultats!$C46:$O46,0))</f>
        <v>13</v>
      </c>
      <c r="M33" s="20">
        <f>IF(Resultats!N46=0, $N$2, RANK(Resultats!N46,Resultats!$C46:$O46,0))</f>
        <v>13</v>
      </c>
      <c r="N33" s="20">
        <f>IF(Resultats!O46=0, $N$2, RANK(Resultats!O46,Resultats!$C46:$O46,0))</f>
        <v>13</v>
      </c>
    </row>
    <row r="34">
      <c r="A34" s="78" t="str">
        <f>Resultats!A47</f>
        <v>medium_skew_sparse_lambda.in</v>
      </c>
      <c r="B34" s="20">
        <f>IF(Resultats!C47=0, $N$2, RANK(Resultats!C47,Resultats!$C47:$O47,0))</f>
        <v>1</v>
      </c>
      <c r="C34" s="20">
        <f>IF(Resultats!D47=0, $N$2, RANK(Resultats!D47,Resultats!$C47:$O47,0))</f>
        <v>13</v>
      </c>
      <c r="D34" s="20">
        <f>IF(Resultats!E47=0, $N$2, RANK(Resultats!E47,Resultats!$C47:$O47,0))</f>
        <v>1</v>
      </c>
      <c r="E34" s="20">
        <f>IF(Resultats!F47=0, $N$2, RANK(Resultats!F47,Resultats!$C47:$O47,0))</f>
        <v>13</v>
      </c>
      <c r="F34" s="20">
        <f>IF(Resultats!G47=0, $N$2, RANK(Resultats!G47,Resultats!$C47:$O47,0))</f>
        <v>13</v>
      </c>
      <c r="G34" s="20">
        <f>IF(Resultats!H47=0, $N$2, RANK(Resultats!H47,Resultats!$C47:$O47,0))</f>
        <v>3</v>
      </c>
      <c r="H34" s="20">
        <f>IF(Resultats!I47=0, $N$2, RANK(Resultats!I47,Resultats!$C47:$O47,0))</f>
        <v>4</v>
      </c>
      <c r="I34" s="20">
        <f>IF(Resultats!J47=0, $N$2, RANK(Resultats!J47,Resultats!$C47:$O47,0))</f>
        <v>13</v>
      </c>
      <c r="J34" s="20">
        <f>IF(Resultats!K47=0, $N$2, RANK(Resultats!K47,Resultats!$C47:$O47,0))</f>
        <v>13</v>
      </c>
      <c r="K34" s="20">
        <f>IF(Resultats!L47=0, $N$2, RANK(Resultats!L47,Resultats!$C47:$O47,0))</f>
        <v>13</v>
      </c>
      <c r="L34" s="20">
        <f>IF(Resultats!M47=0, $N$2, RANK(Resultats!M47,Resultats!$C47:$O47,0))</f>
        <v>13</v>
      </c>
      <c r="M34" s="20">
        <f>IF(Resultats!N47=0, $N$2, RANK(Resultats!N47,Resultats!$C47:$O47,0))</f>
        <v>13</v>
      </c>
      <c r="N34" s="20">
        <f>IF(Resultats!O47=0, $N$2, RANK(Resultats!O47,Resultats!$C47:$O47,0))</f>
        <v>13</v>
      </c>
    </row>
    <row r="35">
      <c r="A35" s="78" t="str">
        <f>Resultats!A48</f>
        <v>medium_flat_dense_dejavu.in</v>
      </c>
      <c r="B35" s="20">
        <f>IF(Resultats!C48=0, $N$2, RANK(Resultats!C48,Resultats!$C48:$O48,0))</f>
        <v>1</v>
      </c>
      <c r="C35" s="20">
        <f>IF(Resultats!D48=0, $N$2, RANK(Resultats!D48,Resultats!$C48:$O48,0))</f>
        <v>13</v>
      </c>
      <c r="D35" s="20">
        <f>IF(Resultats!E48=0, $N$2, RANK(Resultats!E48,Resultats!$C48:$O48,0))</f>
        <v>1</v>
      </c>
      <c r="E35" s="20">
        <f>IF(Resultats!F48=0, $N$2, RANK(Resultats!F48,Resultats!$C48:$O48,0))</f>
        <v>13</v>
      </c>
      <c r="F35" s="20">
        <f>IF(Resultats!G48=0, $N$2, RANK(Resultats!G48,Resultats!$C48:$O48,0))</f>
        <v>13</v>
      </c>
      <c r="G35" s="20">
        <f>IF(Resultats!H48=0, $N$2, RANK(Resultats!H48,Resultats!$C48:$O48,0))</f>
        <v>3</v>
      </c>
      <c r="H35" s="20">
        <f>IF(Resultats!I48=0, $N$2, RANK(Resultats!I48,Resultats!$C48:$O48,0))</f>
        <v>4</v>
      </c>
      <c r="I35" s="20">
        <f>IF(Resultats!J48=0, $N$2, RANK(Resultats!J48,Resultats!$C48:$O48,0))</f>
        <v>13</v>
      </c>
      <c r="J35" s="20">
        <f>IF(Resultats!K48=0, $N$2, RANK(Resultats!K48,Resultats!$C48:$O48,0))</f>
        <v>13</v>
      </c>
      <c r="K35" s="20">
        <f>IF(Resultats!L48=0, $N$2, RANK(Resultats!L48,Resultats!$C48:$O48,0))</f>
        <v>13</v>
      </c>
      <c r="L35" s="20">
        <f>IF(Resultats!M48=0, $N$2, RANK(Resultats!M48,Resultats!$C48:$O48,0))</f>
        <v>13</v>
      </c>
      <c r="M35" s="20">
        <f>IF(Resultats!N48=0, $N$2, RANK(Resultats!N48,Resultats!$C48:$O48,0))</f>
        <v>13</v>
      </c>
      <c r="N35" s="20">
        <f>IF(Resultats!O48=0, $N$2, RANK(Resultats!O48,Resultats!$C48:$O48,0))</f>
        <v>13</v>
      </c>
    </row>
    <row r="36">
      <c r="A36" s="78" t="str">
        <f>Resultats!A49</f>
        <v>medium_flat_sparse_lambda.in</v>
      </c>
      <c r="B36" s="20">
        <f>IF(Resultats!C49=0, $N$2, RANK(Resultats!C49,Resultats!$C49:$O49,0))</f>
        <v>1</v>
      </c>
      <c r="C36" s="20">
        <f>IF(Resultats!D49=0, $N$2, RANK(Resultats!D49,Resultats!$C49:$O49,0))</f>
        <v>13</v>
      </c>
      <c r="D36" s="20">
        <f>IF(Resultats!E49=0, $N$2, RANK(Resultats!E49,Resultats!$C49:$O49,0))</f>
        <v>1</v>
      </c>
      <c r="E36" s="20">
        <f>IF(Resultats!F49=0, $N$2, RANK(Resultats!F49,Resultats!$C49:$O49,0))</f>
        <v>13</v>
      </c>
      <c r="F36" s="20">
        <f>IF(Resultats!G49=0, $N$2, RANK(Resultats!G49,Resultats!$C49:$O49,0))</f>
        <v>13</v>
      </c>
      <c r="G36" s="20">
        <f>IF(Resultats!H49=0, $N$2, RANK(Resultats!H49,Resultats!$C49:$O49,0))</f>
        <v>3</v>
      </c>
      <c r="H36" s="20">
        <f>IF(Resultats!I49=0, $N$2, RANK(Resultats!I49,Resultats!$C49:$O49,0))</f>
        <v>4</v>
      </c>
      <c r="I36" s="20">
        <f>IF(Resultats!J49=0, $N$2, RANK(Resultats!J49,Resultats!$C49:$O49,0))</f>
        <v>13</v>
      </c>
      <c r="J36" s="20">
        <f>IF(Resultats!K49=0, $N$2, RANK(Resultats!K49,Resultats!$C49:$O49,0))</f>
        <v>13</v>
      </c>
      <c r="K36" s="20">
        <f>IF(Resultats!L49=0, $N$2, RANK(Resultats!L49,Resultats!$C49:$O49,0))</f>
        <v>13</v>
      </c>
      <c r="L36" s="20">
        <f>IF(Resultats!M49=0, $N$2, RANK(Resultats!M49,Resultats!$C49:$O49,0))</f>
        <v>13</v>
      </c>
      <c r="M36" s="20">
        <f>IF(Resultats!N49=0, $N$2, RANK(Resultats!N49,Resultats!$C49:$O49,0))</f>
        <v>13</v>
      </c>
      <c r="N36" s="20">
        <f>IF(Resultats!O49=0, $N$2, RANK(Resultats!O49,Resultats!$C49:$O49,0))</f>
        <v>13</v>
      </c>
    </row>
    <row r="38">
      <c r="A38" s="5" t="s">
        <v>78</v>
      </c>
      <c r="B38" s="80">
        <f t="shared" ref="B38:N38" si="1">SUM(B4:B36)</f>
        <v>75</v>
      </c>
      <c r="C38" s="80">
        <f t="shared" si="1"/>
        <v>390</v>
      </c>
      <c r="D38" s="80">
        <f t="shared" si="1"/>
        <v>58</v>
      </c>
      <c r="E38" s="80">
        <f t="shared" si="1"/>
        <v>341</v>
      </c>
      <c r="F38" s="80">
        <f t="shared" si="1"/>
        <v>242</v>
      </c>
      <c r="G38" s="80">
        <f t="shared" si="1"/>
        <v>132</v>
      </c>
      <c r="H38" s="80">
        <f t="shared" si="1"/>
        <v>130</v>
      </c>
      <c r="I38" s="80">
        <f t="shared" si="1"/>
        <v>429</v>
      </c>
      <c r="J38" s="80">
        <f t="shared" si="1"/>
        <v>429</v>
      </c>
      <c r="K38" s="80">
        <f t="shared" si="1"/>
        <v>324</v>
      </c>
      <c r="L38" s="80">
        <f t="shared" si="1"/>
        <v>338</v>
      </c>
      <c r="M38" s="80">
        <f t="shared" si="1"/>
        <v>429</v>
      </c>
      <c r="N38" s="80">
        <f t="shared" si="1"/>
        <v>429</v>
      </c>
    </row>
    <row r="39">
      <c r="A39" s="5" t="s">
        <v>79</v>
      </c>
      <c r="B39" s="9">
        <f t="shared" ref="B39:N39" si="2">$N$2-rank(B38,$B38:$N38)+1</f>
        <v>2</v>
      </c>
      <c r="C39" s="9">
        <f t="shared" si="2"/>
        <v>9</v>
      </c>
      <c r="D39" s="9">
        <f t="shared" si="2"/>
        <v>1</v>
      </c>
      <c r="E39" s="9">
        <f t="shared" si="2"/>
        <v>8</v>
      </c>
      <c r="F39" s="9">
        <f t="shared" si="2"/>
        <v>5</v>
      </c>
      <c r="G39" s="9">
        <f t="shared" si="2"/>
        <v>4</v>
      </c>
      <c r="H39" s="9">
        <f t="shared" si="2"/>
        <v>3</v>
      </c>
      <c r="I39" s="9">
        <f t="shared" si="2"/>
        <v>13</v>
      </c>
      <c r="J39" s="9">
        <f t="shared" si="2"/>
        <v>13</v>
      </c>
      <c r="K39" s="9">
        <f t="shared" si="2"/>
        <v>6</v>
      </c>
      <c r="L39" s="9">
        <f t="shared" si="2"/>
        <v>7</v>
      </c>
      <c r="M39" s="9">
        <f t="shared" si="2"/>
        <v>13</v>
      </c>
      <c r="N39" s="9">
        <f t="shared" si="2"/>
        <v>13</v>
      </c>
    </row>
  </sheetData>
  <mergeCells count="1">
    <mergeCell ref="A1:D2"/>
  </mergeCells>
  <drawing r:id="rId1"/>
</worksheet>
</file>